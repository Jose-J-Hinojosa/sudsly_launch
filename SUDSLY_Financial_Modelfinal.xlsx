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sehinojosa/Downloads/"/>
    </mc:Choice>
  </mc:AlternateContent>
  <xr:revisionPtr revIDLastSave="0" documentId="13_ncr:1_{CA814902-6522-E247-BA02-8574F3065886}" xr6:coauthVersionLast="47" xr6:coauthVersionMax="47" xr10:uidLastSave="{00000000-0000-0000-0000-000000000000}"/>
  <bookViews>
    <workbookView xWindow="-38400" yWindow="0" windowWidth="38400" windowHeight="21600" tabRatio="500" xr2:uid="{00000000-000D-0000-FFFF-FFFF00000000}"/>
  </bookViews>
  <sheets>
    <sheet name="Assumptions" sheetId="1" r:id="rId1"/>
    <sheet name="5-Year P&amp;L" sheetId="2" r:id="rId2"/>
    <sheet name="Investment Pla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3" l="1"/>
  <c r="B24" i="3"/>
  <c r="G52" i="3" s="1"/>
  <c r="C23" i="3"/>
  <c r="C22" i="3"/>
  <c r="C21" i="3"/>
  <c r="B19" i="3"/>
  <c r="C19" i="3" s="1"/>
  <c r="C18" i="3"/>
  <c r="C17" i="3"/>
  <c r="C16" i="3"/>
  <c r="C15" i="3"/>
  <c r="B13" i="3"/>
  <c r="C13" i="3" s="1"/>
  <c r="C12" i="3"/>
  <c r="C11" i="3"/>
  <c r="C10" i="3"/>
  <c r="C9" i="3"/>
  <c r="C8" i="3"/>
  <c r="C7" i="3"/>
  <c r="C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D28" i="2"/>
  <c r="C28" i="2"/>
  <c r="F13" i="2"/>
  <c r="E13" i="2"/>
  <c r="D13" i="2"/>
  <c r="D19" i="2" s="1"/>
  <c r="C13" i="2"/>
  <c r="C19" i="2" s="1"/>
  <c r="B13" i="2"/>
  <c r="F12" i="2"/>
  <c r="F19" i="2" s="1"/>
  <c r="E12" i="2"/>
  <c r="E19" i="2" s="1"/>
  <c r="D12" i="2"/>
  <c r="C12" i="2"/>
  <c r="B12" i="2"/>
  <c r="B19" i="2" s="1"/>
  <c r="F11" i="2"/>
  <c r="E11" i="2"/>
  <c r="D11" i="2"/>
  <c r="C11" i="2"/>
  <c r="B11" i="2"/>
  <c r="F10" i="2"/>
  <c r="F16" i="2" s="1"/>
  <c r="E10" i="2"/>
  <c r="E16" i="2" s="1"/>
  <c r="D10" i="2"/>
  <c r="D16" i="2" s="1"/>
  <c r="C10" i="2"/>
  <c r="C16" i="2" s="1"/>
  <c r="B10" i="2"/>
  <c r="B16" i="2" s="1"/>
  <c r="F9" i="2"/>
  <c r="E9" i="2"/>
  <c r="D9" i="2"/>
  <c r="C9" i="2"/>
  <c r="B9" i="2"/>
  <c r="C57" i="1"/>
  <c r="B57" i="1"/>
  <c r="F52" i="1"/>
  <c r="F28" i="2" s="1"/>
  <c r="E52" i="1"/>
  <c r="E28" i="2" s="1"/>
  <c r="D52" i="1"/>
  <c r="D57" i="1" s="1"/>
  <c r="D33" i="2" s="1"/>
  <c r="C52" i="1"/>
  <c r="B52" i="1"/>
  <c r="B28" i="2" s="1"/>
  <c r="F46" i="1"/>
  <c r="E46" i="1"/>
  <c r="D46" i="1"/>
  <c r="C46" i="1"/>
  <c r="B46" i="1"/>
  <c r="E40" i="1"/>
  <c r="F39" i="1"/>
  <c r="F40" i="1" s="1"/>
  <c r="E39" i="1"/>
  <c r="D39" i="1"/>
  <c r="D40" i="1" s="1"/>
  <c r="C39" i="1"/>
  <c r="C40" i="1" s="1"/>
  <c r="B39" i="1"/>
  <c r="B40" i="1" s="1"/>
  <c r="F36" i="1"/>
  <c r="E36" i="1"/>
  <c r="D36" i="1"/>
  <c r="C36" i="1"/>
  <c r="B29" i="1"/>
  <c r="F8" i="2" s="1"/>
  <c r="B22" i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D22" i="1" s="1"/>
  <c r="E17" i="2" l="1"/>
  <c r="F17" i="2"/>
  <c r="B31" i="1"/>
  <c r="F7" i="2"/>
  <c r="E7" i="2"/>
  <c r="B7" i="2"/>
  <c r="B61" i="1"/>
  <c r="D7" i="2"/>
  <c r="C7" i="2"/>
  <c r="B17" i="2"/>
  <c r="C17" i="2"/>
  <c r="D17" i="2"/>
  <c r="D7" i="1"/>
  <c r="D8" i="1"/>
  <c r="C8" i="2"/>
  <c r="D9" i="1"/>
  <c r="B33" i="2"/>
  <c r="C24" i="3"/>
  <c r="G50" i="3"/>
  <c r="E57" i="1"/>
  <c r="E33" i="2" s="1"/>
  <c r="B26" i="3"/>
  <c r="C26" i="3" s="1"/>
  <c r="G51" i="3"/>
  <c r="F57" i="1"/>
  <c r="F33" i="2" s="1"/>
  <c r="B8" i="2"/>
  <c r="D10" i="1"/>
  <c r="B60" i="1"/>
  <c r="B62" i="1" s="1"/>
  <c r="B63" i="1" s="1"/>
  <c r="B46" i="3" s="1"/>
  <c r="D11" i="1"/>
  <c r="D8" i="2"/>
  <c r="E8" i="2"/>
  <c r="E8" i="1" l="1"/>
  <c r="G8" i="1"/>
  <c r="F8" i="1"/>
  <c r="G9" i="1"/>
  <c r="F9" i="1"/>
  <c r="E9" i="1"/>
  <c r="B18" i="2"/>
  <c r="B20" i="2" s="1"/>
  <c r="B23" i="2"/>
  <c r="G11" i="1"/>
  <c r="F11" i="1"/>
  <c r="E11" i="1"/>
  <c r="G7" i="1"/>
  <c r="E7" i="1"/>
  <c r="F7" i="1"/>
  <c r="G10" i="1"/>
  <c r="F10" i="1"/>
  <c r="E10" i="1"/>
  <c r="D18" i="2"/>
  <c r="D20" i="2" s="1"/>
  <c r="D23" i="2"/>
  <c r="C23" i="2"/>
  <c r="C18" i="2"/>
  <c r="C20" i="2" s="1"/>
  <c r="E18" i="2"/>
  <c r="E20" i="2" s="1"/>
  <c r="E23" i="2"/>
  <c r="F18" i="2"/>
  <c r="F20" i="2" s="1"/>
  <c r="F23" i="2"/>
  <c r="D24" i="2" l="1"/>
  <c r="D46" i="2"/>
  <c r="D43" i="2"/>
  <c r="D25" i="2"/>
  <c r="D66" i="2" s="1"/>
  <c r="D41" i="2"/>
  <c r="E46" i="2"/>
  <c r="E24" i="2"/>
  <c r="E25" i="2"/>
  <c r="E66" i="2" s="1"/>
  <c r="E41" i="2"/>
  <c r="E43" i="2"/>
  <c r="B41" i="3"/>
  <c r="B46" i="2"/>
  <c r="B24" i="2"/>
  <c r="B25" i="2"/>
  <c r="B66" i="2" s="1"/>
  <c r="B43" i="2"/>
  <c r="B41" i="2"/>
  <c r="B43" i="3"/>
  <c r="F46" i="2"/>
  <c r="F24" i="2"/>
  <c r="F25" i="2"/>
  <c r="F66" i="2" s="1"/>
  <c r="F41" i="2"/>
  <c r="F43" i="2"/>
  <c r="B42" i="3"/>
  <c r="C46" i="2"/>
  <c r="C43" i="2"/>
  <c r="C24" i="2"/>
  <c r="C41" i="2"/>
  <c r="B36" i="2" l="1"/>
  <c r="B42" i="2"/>
  <c r="C36" i="2"/>
  <c r="C42" i="2"/>
  <c r="F36" i="2"/>
  <c r="F42" i="2"/>
  <c r="C25" i="2"/>
  <c r="C66" i="2" s="1"/>
  <c r="E36" i="2"/>
  <c r="E42" i="2"/>
  <c r="D36" i="2"/>
  <c r="D42" i="2"/>
  <c r="E47" i="2" l="1"/>
  <c r="E37" i="2"/>
  <c r="E67" i="2" s="1"/>
  <c r="F47" i="2"/>
  <c r="F37" i="2"/>
  <c r="F67" i="2" s="1"/>
  <c r="C47" i="2"/>
  <c r="C37" i="2"/>
  <c r="C67" i="2" s="1"/>
  <c r="D47" i="2"/>
  <c r="D37" i="2"/>
  <c r="D67" i="2" s="1"/>
  <c r="B38" i="2"/>
  <c r="C38" i="2" s="1"/>
  <c r="D38" i="2" s="1"/>
  <c r="E38" i="2" s="1"/>
  <c r="F38" i="2" s="1"/>
  <c r="B47" i="2"/>
  <c r="B37" i="2"/>
  <c r="B67" i="2" s="1"/>
  <c r="B45" i="3" l="1"/>
  <c r="B44" i="3"/>
</calcChain>
</file>

<file path=xl/sharedStrings.xml><?xml version="1.0" encoding="utf-8"?>
<sst xmlns="http://schemas.openxmlformats.org/spreadsheetml/2006/main" count="258" uniqueCount="212">
  <si>
    <t>SUDSLY — Core Assumptions &amp; Model Inputs</t>
  </si>
  <si>
    <t>Yellow = adjustable inputs | Blue text = hardcoded | Black = formulas | Green = cross-sheet links</t>
  </si>
  <si>
    <t>Wayne State Startup Tech Pitch Competition — March 27, 2026</t>
  </si>
  <si>
    <t>PRICING TIERS &amp; MARGIN ANALYSIS</t>
  </si>
  <si>
    <t>Tier</t>
  </si>
  <si>
    <t>Lbs/Week</t>
  </si>
  <si>
    <t>Rate/lb</t>
  </si>
  <si>
    <t>COGS/lb</t>
  </si>
  <si>
    <t>Net/lb</t>
  </si>
  <si>
    <t>Gross Margin %</t>
  </si>
  <si>
    <t>30-lb Order Net</t>
  </si>
  <si>
    <t>Annual Benefit</t>
  </si>
  <si>
    <t>One-Time</t>
  </si>
  <si>
    <t>Any</t>
  </si>
  <si>
    <t>No commitment</t>
  </si>
  <si>
    <t>Light Contract</t>
  </si>
  <si>
    <t>15–25</t>
  </si>
  <si>
    <t>Price Lock (12 mo)</t>
  </si>
  <si>
    <t>Standard Contract</t>
  </si>
  <si>
    <t>26–40</t>
  </si>
  <si>
    <t>Heavy Contract</t>
  </si>
  <si>
    <t>41–60</t>
  </si>
  <si>
    <t>Family Contract</t>
  </si>
  <si>
    <t>61–80</t>
  </si>
  <si>
    <t>Rush Add-On</t>
  </si>
  <si>
    <t>—</t>
  </si>
  <si>
    <t>Surcharge on top of tier</t>
  </si>
  <si>
    <t>BLENDED RATE CALCULATION</t>
  </si>
  <si>
    <t>Mix %</t>
  </si>
  <si>
    <t>Weighted Rate</t>
  </si>
  <si>
    <t>Light</t>
  </si>
  <si>
    <t>Standard</t>
  </si>
  <si>
    <t>Heavy</t>
  </si>
  <si>
    <t>Family</t>
  </si>
  <si>
    <t>Rush Uplift (~3%)</t>
  </si>
  <si>
    <t>BLENDED AVG RATE / LB</t>
  </si>
  <si>
    <t>COST STRUCTURE PER POUND</t>
  </si>
  <si>
    <t>Cost Component</t>
  </si>
  <si>
    <t>$/lb</t>
  </si>
  <si>
    <t>Notes</t>
  </si>
  <si>
    <t>Laundromat processing</t>
  </si>
  <si>
    <t>Negotiated rate w/ GP-area partners</t>
  </si>
  <si>
    <t>Driver fuel &amp; vehicle</t>
  </si>
  <si>
    <t>Gas + depreciation — efficient routing in tight GP zone</t>
  </si>
  <si>
    <t>Driver labor</t>
  </si>
  <si>
    <t>$18/hr, ~25 min round trip</t>
  </si>
  <si>
    <t>TOTAL VARIABLE COGS / LB</t>
  </si>
  <si>
    <t>Every dollar above this = gross margin</t>
  </si>
  <si>
    <t>BLENDED GROSS MARGIN</t>
  </si>
  <si>
    <t>Target: 24%+</t>
  </si>
  <si>
    <t>CUSTOMER GROWTH ASSUMPTIONS</t>
  </si>
  <si>
    <t>Metric</t>
  </si>
  <si>
    <t>Year 1
(2026)</t>
  </si>
  <si>
    <t>Year 2
(2027)</t>
  </si>
  <si>
    <t>Year 3
(2028)</t>
  </si>
  <si>
    <t>Year 4
(2029)</t>
  </si>
  <si>
    <t>Year 5
(2030)</t>
  </si>
  <si>
    <t>Rationale</t>
  </si>
  <si>
    <t>Avg Active Customers</t>
  </si>
  <si>
    <t>GP launch → Woods + WSU → Metro</t>
  </si>
  <si>
    <t>YoY Growth Rate</t>
  </si>
  <si>
    <t>Orders / Customer / Month</t>
  </si>
  <si>
    <t>Weekly + biweekly + one-time mix</t>
  </si>
  <si>
    <t>Avg Order Weight (lbs)</t>
  </si>
  <si>
    <t>3-4 person household avg</t>
  </si>
  <si>
    <t>Orders / Year</t>
  </si>
  <si>
    <t>Customers × orders/mo × 12</t>
  </si>
  <si>
    <t>Total Lbs / Year</t>
  </si>
  <si>
    <t>Orders × avg weight</t>
  </si>
  <si>
    <t>SAAS PARTNER LAUNDROMATS</t>
  </si>
  <si>
    <t>Year 1</t>
  </si>
  <si>
    <t>Year 2</t>
  </si>
  <si>
    <t>Year 3</t>
  </si>
  <si>
    <t>Year 4</t>
  </si>
  <si>
    <t>Year 5</t>
  </si>
  <si>
    <t>Partner Laundromats</t>
  </si>
  <si>
    <t>Vetted local partners</t>
  </si>
  <si>
    <t>Monthly SaaS Fee / Partner</t>
  </si>
  <si>
    <t>Dashboard + order mgmt</t>
  </si>
  <si>
    <t>Annual SaaS Revenue</t>
  </si>
  <si>
    <t>Partners × fee × 12</t>
  </si>
  <si>
    <t>FIXED OPERATING COSTS (ANNUAL)</t>
  </si>
  <si>
    <t>Cost Item</t>
  </si>
  <si>
    <t>Auto Ins. / Vehicle</t>
  </si>
  <si>
    <t>$300/mo per vehicle</t>
  </si>
  <si>
    <t>Vehicles Operated</t>
  </si>
  <si>
    <t>Scale with volume</t>
  </si>
  <si>
    <t>Total Auto Insurance</t>
  </si>
  <si>
    <t>General Liability Ins.</t>
  </si>
  <si>
    <t>$100/mo required</t>
  </si>
  <si>
    <t>Software &amp; Hosting</t>
  </si>
  <si>
    <t>Vercel+Supabase+Twilio+Resend</t>
  </si>
  <si>
    <t>Marketing &amp; Cust. Acq.</t>
  </si>
  <si>
    <t>Door-to-door → digital</t>
  </si>
  <si>
    <t>Legal &amp; Compliance</t>
  </si>
  <si>
    <t>LLC, contracts, policy</t>
  </si>
  <si>
    <t>TOTAL FIXED COSTS</t>
  </si>
  <si>
    <t>BREAK-EVEN ANALYSIS</t>
  </si>
  <si>
    <t>Monthly Fixed Costs (Y1)</t>
  </si>
  <si>
    <t>Annual fixed ÷ 12</t>
  </si>
  <si>
    <t>Net $ per Order (30-lb avg)</t>
  </si>
  <si>
    <t>(Blended − COGS) × weight</t>
  </si>
  <si>
    <t>Orders/Month to Break Even</t>
  </si>
  <si>
    <t>Fixed ÷ net per order</t>
  </si>
  <si>
    <t>Customers to Break Even</t>
  </si>
  <si>
    <t>Orders ÷ orders/cust/mo</t>
  </si>
  <si>
    <t>Break-Even Timeline</t>
  </si>
  <si>
    <t>Month 2–3</t>
  </si>
  <si>
    <t>Achievable via door-to-door in GP</t>
  </si>
  <si>
    <t>SUDSLY — 5-Year Projected Income Statement</t>
  </si>
  <si>
    <t>All formulas linked to Assumptions tab | Green = cross-sheet refs</t>
  </si>
  <si>
    <t>Year 1
(2026 Pilot)</t>
  </si>
  <si>
    <t>KEY ASSUMPTIONS (from Assumptions tab)</t>
  </si>
  <si>
    <t>Blended Revenue Rate ($/lb)</t>
  </si>
  <si>
    <t>Variable COGS ($/lb)</t>
  </si>
  <si>
    <t>SaaS Partner Laundromats</t>
  </si>
  <si>
    <t>SaaS Fee / Partner / Month</t>
  </si>
  <si>
    <t>REVENUE</t>
  </si>
  <si>
    <t>Total Orders / Year</t>
  </si>
  <si>
    <t>Order Revenue</t>
  </si>
  <si>
    <t>Partner SaaS Revenue</t>
  </si>
  <si>
    <t>TOTAL REVENUE</t>
  </si>
  <si>
    <t>COST OF GOODS SOLD</t>
  </si>
  <si>
    <t>Variable COGS (laundromat + driver)</t>
  </si>
  <si>
    <t>GROSS PROFIT</t>
  </si>
  <si>
    <t>FIXED OPERATING COSTS</t>
  </si>
  <si>
    <t>Auto Insurance</t>
  </si>
  <si>
    <t>EBITDA</t>
  </si>
  <si>
    <t>EBITDA Margin %</t>
  </si>
  <si>
    <t>Cumulative EBITDA</t>
  </si>
  <si>
    <t>KEY METRICS</t>
  </si>
  <si>
    <t>Avg Revenue / Order</t>
  </si>
  <si>
    <t>Net Contribution / Order</t>
  </si>
  <si>
    <t>Revenue / Customer / Year</t>
  </si>
  <si>
    <t>Rev/EBITDA Chart Data (hidden helper)</t>
  </si>
  <si>
    <t>Total Revenue</t>
  </si>
  <si>
    <t>dummy</t>
  </si>
  <si>
    <t>SUDSLY — Investment Deployment &amp; Growth Plan</t>
  </si>
  <si>
    <t>$10,000 Seed — Every Dollar Accounted For</t>
  </si>
  <si>
    <t>SEED INVESTMENT ($10,000)</t>
  </si>
  <si>
    <t>Category</t>
  </si>
  <si>
    <t>Amount</t>
  </si>
  <si>
    <t>% of Total</t>
  </si>
  <si>
    <t>Description &amp; Rationale</t>
  </si>
  <si>
    <t>TECHNOLOGY</t>
  </si>
  <si>
    <t>App &amp; website development</t>
  </si>
  <si>
    <t>Next.js + React Native + Supabase — Sam builds in-house</t>
  </si>
  <si>
    <t>QR tracking + scales + tags</t>
  </si>
  <si>
    <t>qrcode npm + 500 tags ($30) + 2 digital scales ($35 ea) + misc</t>
  </si>
  <si>
    <t>Stripe payment integration</t>
  </si>
  <si>
    <t>Test/live mode, subscription billing, hold-and-adjust flow</t>
  </si>
  <si>
    <t>Twilio SMS (6 months)</t>
  </si>
  <si>
    <t>Phone # ($1/mo) + ~1,200 msgs/mo @ $0.0079</t>
  </si>
  <si>
    <t>Driver portal + admin dashboard</t>
  </si>
  <si>
    <t>Mobile driver app, photo upload, admin order mgmt</t>
  </si>
  <si>
    <t>Domain + hosting buffer (Y1)</t>
  </si>
  <si>
    <t>sudsly.com ($12) + Vercel + contingency buffer</t>
  </si>
  <si>
    <t>Technology Subtotal</t>
  </si>
  <si>
    <t>MARKETING &amp; ONBOARDING</t>
  </si>
  <si>
    <t>Launch campaign (Grosse Pointe)</t>
  </si>
  <si>
    <t>Door-to-door materials, flyers, branded bags (50 @ $2.40)</t>
  </si>
  <si>
    <t>First-order incentives</t>
  </si>
  <si>
    <t>Free first pickup for early adopters — up to 50 families</t>
  </si>
  <si>
    <t>Social media production</t>
  </si>
  <si>
    <t>TikTok/IG content, behind-the-scenes, testimonial captures</t>
  </si>
  <si>
    <t>Laundromat partner onboarding</t>
  </si>
  <si>
    <t>Partner materials, training docs, onboarding support</t>
  </si>
  <si>
    <t>Marketing Subtotal</t>
  </si>
  <si>
    <t>INSURANCE &amp; LEGAL</t>
  </si>
  <si>
    <t>Commercial auto insurance (4 mo)</t>
  </si>
  <si>
    <t>$300/mo truck rider — required before first pickup</t>
  </si>
  <si>
    <t>General liability insurance (4 mo)</t>
  </si>
  <si>
    <t>$100/mo — damage claims coverage</t>
  </si>
  <si>
    <t>LLC + legal docs</t>
  </si>
  <si>
    <t>MI LLC ($50) + partner contracts + liability policy drafts</t>
  </si>
  <si>
    <t>Insurance &amp; Legal Subtotal</t>
  </si>
  <si>
    <t>TOTAL SEED INVESTMENT</t>
  </si>
  <si>
    <t>Every dollar deployed — must equal $10,000</t>
  </si>
  <si>
    <t>POST-PROFITABILITY REINVESTMENT PLAN</t>
  </si>
  <si>
    <t>Once Sudsly hits ~$50K annual revenue (mid-Year 2), excess cash funds these in priority order:</t>
  </si>
  <si>
    <t>Investment</t>
  </si>
  <si>
    <t>Est. Cost</t>
  </si>
  <si>
    <t>Priority</t>
  </si>
  <si>
    <t>Rationale &amp; Impact</t>
  </si>
  <si>
    <t>Cargo van (used)</t>
  </si>
  <si>
    <t>1st</t>
  </si>
  <si>
    <t>Replace truck-bed. Weather-protected, branded. 3x capacity, enables winter.</t>
  </si>
  <si>
    <t>Marketing reinvestment</t>
  </si>
  <si>
    <t>2nd</t>
  </si>
  <si>
    <t>Accelerate GP Woods + WSU expansion. Digital ads, referral bonuses.</t>
  </si>
  <si>
    <t>First driver hire (part-time)</t>
  </si>
  <si>
    <t>3rd</t>
  </si>
  <si>
    <t>Remove CEO from daily routes. $18/hr PT. Full focus on sales &amp; growth.</t>
  </si>
  <si>
    <t>Second laundromat partner</t>
  </si>
  <si>
    <t>4th</t>
  </si>
  <si>
    <t>Redundancy + capacity. No single-point-of-failure on processing.</t>
  </si>
  <si>
    <t>Route optimization software</t>
  </si>
  <si>
    <t>5th</t>
  </si>
  <si>
    <t>Google Maps Directions API. Auto-optimized routes at 8+ stops/day.</t>
  </si>
  <si>
    <t>TOTAL REINVESTMENT PIPELINE</t>
  </si>
  <si>
    <t>Funded by operating cash flow — no second round needed</t>
  </si>
  <si>
    <t>RETURN ON $10K INVESTMENT</t>
  </si>
  <si>
    <t>Value</t>
  </si>
  <si>
    <t>Year 1 Revenue</t>
  </si>
  <si>
    <t>Year 2 Revenue</t>
  </si>
  <si>
    <t>Year 5 Revenue</t>
  </si>
  <si>
    <t>Year 5 Cumulative EBITDA</t>
  </si>
  <si>
    <t>5-Year ROI Multiple</t>
  </si>
  <si>
    <t>Break-Even Customers</t>
  </si>
  <si>
    <t>Technology</t>
  </si>
  <si>
    <t>Marketing</t>
  </si>
  <si>
    <t>Insurance &amp;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</si>
</sst>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"/>
    <numFmt numFmtId="165" formatCode="0.0%"/>
    <numFmt numFmtId="166" formatCode="\$#,##0.000"/>
    <numFmt numFmtId="167" formatCode="0.0"/>
    <numFmt numFmtId="168" formatCode="\$#,##0"/>
    <numFmt numFmtId="169" formatCode="\$#,##0;&quot;($&quot;#,##0\)"/>
    <numFmt numFmtId="170" formatCode="0.0%;\(0.0%\)"/>
    <numFmt numFmtId="171" formatCode="0.0\x"/>
  </numFmts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666666"/>
      <name val="Arial"/>
      <family val="2"/>
    </font>
    <font>
      <b/>
      <sz val="13"/>
      <color rgb="FF1F386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color rgb="FF1F3864"/>
      <name val="Arial"/>
      <family val="2"/>
    </font>
    <font>
      <b/>
      <sz val="11"/>
      <color rgb="FF000000"/>
      <name val="Arial"/>
      <family val="2"/>
    </font>
    <font>
      <sz val="11"/>
      <color rgb="FF008000"/>
      <name val="Arial"/>
      <family val="2"/>
    </font>
    <font>
      <b/>
      <sz val="11"/>
      <color rgb="FF008000"/>
      <name val="Arial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FFFFCC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7" fillId="0" borderId="0" xfId="0" applyFont="1"/>
    <xf numFmtId="165" fontId="6" fillId="4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 wrapText="1"/>
    </xf>
    <xf numFmtId="165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166" fontId="8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 wrapText="1"/>
    </xf>
    <xf numFmtId="165" fontId="8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168" fontId="6" fillId="4" borderId="1" xfId="0" applyNumberFormat="1" applyFont="1" applyFill="1" applyBorder="1" applyAlignment="1">
      <alignment horizontal="right" vertical="center"/>
    </xf>
    <xf numFmtId="168" fontId="8" fillId="5" borderId="1" xfId="0" applyNumberFormat="1" applyFont="1" applyFill="1" applyBorder="1" applyAlignment="1">
      <alignment horizontal="right" vertical="center"/>
    </xf>
    <xf numFmtId="168" fontId="5" fillId="3" borderId="1" xfId="0" applyNumberFormat="1" applyFont="1" applyFill="1" applyBorder="1" applyAlignment="1">
      <alignment horizontal="right" vertical="center"/>
    </xf>
    <xf numFmtId="3" fontId="8" fillId="6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166" fontId="9" fillId="0" borderId="1" xfId="0" applyNumberFormat="1" applyFont="1" applyBorder="1"/>
    <xf numFmtId="164" fontId="9" fillId="0" borderId="1" xfId="0" applyNumberFormat="1" applyFont="1" applyBorder="1"/>
    <xf numFmtId="3" fontId="9" fillId="0" borderId="1" xfId="0" applyNumberFormat="1" applyFont="1" applyBorder="1"/>
    <xf numFmtId="167" fontId="9" fillId="0" borderId="1" xfId="0" applyNumberFormat="1" applyFont="1" applyBorder="1"/>
    <xf numFmtId="168" fontId="9" fillId="0" borderId="1" xfId="0" applyNumberFormat="1" applyFont="1" applyBorder="1"/>
    <xf numFmtId="0" fontId="3" fillId="5" borderId="1" xfId="0" applyFont="1" applyFill="1" applyBorder="1"/>
    <xf numFmtId="0" fontId="0" fillId="5" borderId="1" xfId="0" applyFill="1" applyBorder="1"/>
    <xf numFmtId="3" fontId="5" fillId="0" borderId="1" xfId="0" applyNumberFormat="1" applyFont="1" applyBorder="1"/>
    <xf numFmtId="168" fontId="5" fillId="0" borderId="1" xfId="0" applyNumberFormat="1" applyFont="1" applyBorder="1"/>
    <xf numFmtId="0" fontId="8" fillId="5" borderId="1" xfId="0" applyFont="1" applyFill="1" applyBorder="1"/>
    <xf numFmtId="168" fontId="8" fillId="5" borderId="1" xfId="0" applyNumberFormat="1" applyFont="1" applyFill="1" applyBorder="1"/>
    <xf numFmtId="0" fontId="3" fillId="7" borderId="1" xfId="0" applyFont="1" applyFill="1" applyBorder="1"/>
    <xf numFmtId="0" fontId="0" fillId="7" borderId="1" xfId="0" applyFill="1" applyBorder="1"/>
    <xf numFmtId="0" fontId="8" fillId="6" borderId="1" xfId="0" applyFont="1" applyFill="1" applyBorder="1"/>
    <xf numFmtId="168" fontId="8" fillId="6" borderId="1" xfId="0" applyNumberFormat="1" applyFont="1" applyFill="1" applyBorder="1"/>
    <xf numFmtId="165" fontId="5" fillId="0" borderId="1" xfId="0" applyNumberFormat="1" applyFont="1" applyBorder="1"/>
    <xf numFmtId="168" fontId="10" fillId="5" borderId="1" xfId="0" applyNumberFormat="1" applyFont="1" applyFill="1" applyBorder="1"/>
    <xf numFmtId="0" fontId="3" fillId="6" borderId="1" xfId="0" applyFont="1" applyFill="1" applyBorder="1"/>
    <xf numFmtId="0" fontId="0" fillId="6" borderId="1" xfId="0" applyFill="1" applyBorder="1"/>
    <xf numFmtId="169" fontId="8" fillId="6" borderId="1" xfId="0" applyNumberFormat="1" applyFont="1" applyFill="1" applyBorder="1"/>
    <xf numFmtId="170" fontId="5" fillId="0" borderId="1" xfId="0" applyNumberFormat="1" applyFont="1" applyBorder="1"/>
    <xf numFmtId="169" fontId="5" fillId="0" borderId="1" xfId="0" applyNumberFormat="1" applyFont="1" applyBorder="1"/>
    <xf numFmtId="164" fontId="5" fillId="0" borderId="1" xfId="0" applyNumberFormat="1" applyFont="1" applyBorder="1"/>
    <xf numFmtId="168" fontId="0" fillId="0" borderId="0" xfId="0" applyNumberFormat="1"/>
    <xf numFmtId="165" fontId="0" fillId="0" borderId="0" xfId="0" applyNumberFormat="1"/>
    <xf numFmtId="0" fontId="7" fillId="8" borderId="1" xfId="0" applyFont="1" applyFill="1" applyBorder="1"/>
    <xf numFmtId="0" fontId="0" fillId="8" borderId="1" xfId="0" applyFill="1" applyBorder="1"/>
    <xf numFmtId="9" fontId="5" fillId="3" borderId="1" xfId="0" applyNumberFormat="1" applyFont="1" applyFill="1" applyBorder="1" applyAlignment="1">
      <alignment horizontal="right" vertical="center"/>
    </xf>
    <xf numFmtId="9" fontId="8" fillId="5" borderId="1" xfId="0" applyNumberFormat="1" applyFont="1" applyFill="1" applyBorder="1" applyAlignment="1">
      <alignment horizontal="right" vertical="center"/>
    </xf>
    <xf numFmtId="168" fontId="8" fillId="6" borderId="1" xfId="0" applyNumberFormat="1" applyFont="1" applyFill="1" applyBorder="1" applyAlignment="1">
      <alignment horizontal="right" vertical="center"/>
    </xf>
    <xf numFmtId="9" fontId="8" fillId="6" borderId="1" xfId="0" applyNumberFormat="1" applyFont="1" applyFill="1" applyBorder="1" applyAlignment="1">
      <alignment horizontal="right" vertical="center"/>
    </xf>
    <xf numFmtId="171" fontId="9" fillId="0" borderId="1" xfId="0" applyNumberFormat="1" applyFont="1" applyBorder="1"/>
    <xf numFmtId="0" fontId="8" fillId="0" borderId="1" xfId="0" applyFont="1" applyBorder="1"/>
    <xf numFmtId="0" fontId="5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BE4B48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CE4D6"/>
      <rgbColor rgb="FF2E75B6"/>
      <rgbColor rgb="FF33CCCC"/>
      <rgbColor rgb="FF9BBB59"/>
      <rgbColor rgb="FFFFCC00"/>
      <rgbColor rgb="FFFF9900"/>
      <rgbColor rgb="FFED7D31"/>
      <rgbColor rgb="FF666666"/>
      <rgbColor rgb="FF4F81BD"/>
      <rgbColor rgb="FF1F3864"/>
      <rgbColor rgb="FF4A7EBB"/>
      <rgbColor rgb="FF003300"/>
      <rgbColor rgb="FF333300"/>
      <rgbColor rgb="FFC0504D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vs EBITDA — 5-Year Projection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'5-Year P&amp;L'!$A$46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P&amp;L'!$B$45:$F$45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P&amp;L'!$B$46:$F$46</c:f>
              <c:numCache>
                <c:formatCode>\$#,##0</c:formatCode>
                <c:ptCount val="5"/>
                <c:pt idx="0">
                  <c:v>57779.1</c:v>
                </c:pt>
                <c:pt idx="1">
                  <c:v>262641.59999999998</c:v>
                </c:pt>
                <c:pt idx="2">
                  <c:v>819450</c:v>
                </c:pt>
                <c:pt idx="3">
                  <c:v>2128338</c:v>
                </c:pt>
                <c:pt idx="4">
                  <c:v>4908780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D-2246-8E54-E6DB1E0A1D6A}"/>
            </c:ext>
          </c:extLst>
        </c:ser>
        <c:ser>
          <c:idx val="1"/>
          <c:order val="1"/>
          <c:tx>
            <c:strRef>
              <c:f>'5-Year P&amp;L'!$A$47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P&amp;L'!$B$45:$F$45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P&amp;L'!$B$47:$F$47</c:f>
              <c:numCache>
                <c:formatCode>\$#,##0</c:formatCode>
                <c:ptCount val="5"/>
                <c:pt idx="0">
                  <c:v>1724.0999999999985</c:v>
                </c:pt>
                <c:pt idx="1">
                  <c:v>50061.599999999948</c:v>
                </c:pt>
                <c:pt idx="2">
                  <c:v>176850</c:v>
                </c:pt>
                <c:pt idx="3">
                  <c:v>486137.99999999977</c:v>
                </c:pt>
                <c:pt idx="4">
                  <c:v>1145279.9999999995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D-2246-8E54-E6DB1E0A1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53967"/>
        <c:axId val="19712942"/>
      </c:barChart>
      <c:catAx>
        <c:axId val="555539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712942"/>
        <c:crosses val="autoZero"/>
        <c:auto val="1"/>
        <c:lblAlgn val="ctr"/>
        <c:lblOffset val="100"/>
        <c:noMultiLvlLbl val="0"/>
      </c:catAx>
      <c:valAx>
        <c:axId val="19712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Dollars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539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Margin Trends — 5-Year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'5-Year P&amp;L'!$A$66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P&amp;L'!$B$45:$F$45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P&amp;L'!$B$66:$F$66</c:f>
              <c:numCache>
                <c:formatCode>0.0%</c:formatCode>
                <c:ptCount val="5"/>
                <c:pt idx="0">
                  <c:v>0.25310363089767751</c:v>
                </c:pt>
                <c:pt idx="1">
                  <c:v>0.24886232797850741</c:v>
                </c:pt>
                <c:pt idx="2">
                  <c:v>0.24766611751784734</c:v>
                </c:pt>
                <c:pt idx="3">
                  <c:v>0.24687714075489878</c:v>
                </c:pt>
                <c:pt idx="4">
                  <c:v>0.24645227531076958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34-394F-8726-08F4B2C68D9B}"/>
            </c:ext>
          </c:extLst>
        </c:ser>
        <c:ser>
          <c:idx val="1"/>
          <c:order val="1"/>
          <c:tx>
            <c:strRef>
              <c:f>'5-Year P&amp;L'!$A$67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'5-Year P&amp;L'!$B$45:$F$45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'5-Year P&amp;L'!$B$67:$F$67</c:f>
              <c:numCache>
                <c:formatCode>0.0%</c:formatCode>
                <c:ptCount val="5"/>
                <c:pt idx="0">
                  <c:v>2.9839509441995437E-2</c:v>
                </c:pt>
                <c:pt idx="1">
                  <c:v>0.19060803772136611</c:v>
                </c:pt>
                <c:pt idx="2">
                  <c:v>0.21581548599670511</c:v>
                </c:pt>
                <c:pt idx="3">
                  <c:v>0.22841202854057943</c:v>
                </c:pt>
                <c:pt idx="4">
                  <c:v>0.23331255423954619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34-394F-8726-08F4B2C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027723"/>
        <c:axId val="1119083"/>
      </c:lineChart>
      <c:catAx>
        <c:axId val="590277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9083"/>
        <c:crosses val="autoZero"/>
        <c:auto val="1"/>
        <c:lblAlgn val="ctr"/>
        <c:lblOffset val="100"/>
        <c:noMultiLvlLbl val="0"/>
      </c:catAx>
      <c:valAx>
        <c:axId val="1119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27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Seed Investment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747-AC4A-8BE2-B8C4B54F589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747-AC4A-8BE2-B8C4B54F589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747-AC4A-8BE2-B8C4B54F589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747-AC4A-8BE2-B8C4B54F589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747-AC4A-8BE2-B8C4B54F589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747-AC4A-8BE2-B8C4B54F58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'Investment Plan'!$F$50:$F$52</c:f>
              <c:strCache>
                <c:ptCount val="3"/>
                <c:pt idx="0">
                  <c:v>Technology</c:v>
                </c:pt>
                <c:pt idx="1">
                  <c:v>Marketing</c:v>
                </c:pt>
                <c:pt idx="2">
                  <c:v>Insurance &amp; Legal</c:v>
                </c:pt>
              </c:strCache>
            </c:strRef>
          </c:cat>
          <c:val>
            <c:numRef>
              <c:f>'Investment Plan'!$G$50:$G$52</c:f>
              <c:numCache>
                <c:formatCode>\$#,##0</c:formatCode>
                <c:ptCount val="3"/>
                <c:pt idx="0">
                  <c:v>5500</c:v>
                </c:pt>
                <c:pt idx="1">
                  <c:v>2500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47-AC4A-8BE2-B8C4B54F5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88900</xdr:colOff>
      <xdr:row>8</xdr:row>
      <xdr:rowOff>99620</xdr:rowOff>
    </xdr:from>
    <xdr:to>
      <xdr:col>21</xdr:col>
      <xdr:colOff>14020</xdr:colOff>
      <xdr:row>33</xdr:row>
      <xdr:rowOff>15740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63</xdr:row>
      <xdr:rowOff>112320</xdr:rowOff>
    </xdr:from>
    <xdr:to>
      <xdr:col>8</xdr:col>
      <xdr:colOff>610920</xdr:colOff>
      <xdr:row>88</xdr:row>
      <xdr:rowOff>28440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131040</xdr:rowOff>
    </xdr:from>
    <xdr:to>
      <xdr:col>11</xdr:col>
      <xdr:colOff>211320</xdr:colOff>
      <xdr:row>26</xdr:row>
      <xdr:rowOff>53280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64"/>
  <sheetViews>
    <sheetView tabSelected="1" zoomScaleNormal="100" workbookViewId="0">
      <pane ySplit="5" topLeftCell="A6" activePane="bottomLeft" state="frozen"/>
      <selection pane="bottomLeft" activeCell="C11" sqref="C11"/>
    </sheetView>
  </sheetViews>
  <sheetFormatPr baseColWidth="10" defaultColWidth="8.6640625" defaultRowHeight="15" x14ac:dyDescent="0.2"/>
  <cols>
    <col min="1" max="1" width="38" customWidth="1"/>
    <col min="2" max="7" width="16" customWidth="1"/>
    <col min="8" max="8" width="30" customWidth="1"/>
  </cols>
  <sheetData>
    <row r="1" spans="1:8" ht="19.5" customHeight="1" x14ac:dyDescent="0.2">
      <c r="A1" s="1" t="s">
        <v>0</v>
      </c>
    </row>
    <row r="2" spans="1:8" ht="15" customHeight="1" x14ac:dyDescent="0.2">
      <c r="A2" s="2" t="s">
        <v>1</v>
      </c>
    </row>
    <row r="3" spans="1:8" ht="15" customHeight="1" x14ac:dyDescent="0.2">
      <c r="A3" s="2" t="s">
        <v>2</v>
      </c>
    </row>
    <row r="5" spans="1:8" ht="15.75" customHeight="1" x14ac:dyDescent="0.2">
      <c r="A5" s="3" t="s">
        <v>3</v>
      </c>
    </row>
    <row r="6" spans="1:8" ht="26.25" customHeight="1" x14ac:dyDescent="0.2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 ht="15" customHeight="1" x14ac:dyDescent="0.2">
      <c r="A7" s="5" t="s">
        <v>12</v>
      </c>
      <c r="B7" s="6" t="s">
        <v>13</v>
      </c>
      <c r="C7" s="7">
        <v>1.95</v>
      </c>
      <c r="D7" s="8">
        <f>$B$29</f>
        <v>1.37</v>
      </c>
      <c r="E7" s="8">
        <f>C7-D7</f>
        <v>0.57999999999999985</v>
      </c>
      <c r="F7" s="9">
        <f>(C7-D7)/C7</f>
        <v>0.29743589743589738</v>
      </c>
      <c r="G7" s="8">
        <f>(C7-D7)*30</f>
        <v>17.399999999999995</v>
      </c>
      <c r="H7" s="6" t="s">
        <v>14</v>
      </c>
    </row>
    <row r="8" spans="1:8" ht="15" customHeight="1" x14ac:dyDescent="0.2">
      <c r="A8" s="5" t="s">
        <v>15</v>
      </c>
      <c r="B8" s="6" t="s">
        <v>16</v>
      </c>
      <c r="C8" s="7">
        <v>1.85</v>
      </c>
      <c r="D8" s="8">
        <f>$B$29</f>
        <v>1.37</v>
      </c>
      <c r="E8" s="8">
        <f>C8-D8</f>
        <v>0.48</v>
      </c>
      <c r="F8" s="9">
        <f>(C8-D8)/C8</f>
        <v>0.25945945945945942</v>
      </c>
      <c r="G8" s="8">
        <f>(C8-D8)*30</f>
        <v>14.399999999999999</v>
      </c>
      <c r="H8" s="6" t="s">
        <v>17</v>
      </c>
    </row>
    <row r="9" spans="1:8" ht="15" customHeight="1" x14ac:dyDescent="0.2">
      <c r="A9" s="5" t="s">
        <v>18</v>
      </c>
      <c r="B9" s="6" t="s">
        <v>19</v>
      </c>
      <c r="C9" s="7">
        <v>1.8</v>
      </c>
      <c r="D9" s="8">
        <f>$B$29</f>
        <v>1.37</v>
      </c>
      <c r="E9" s="8">
        <f>C9-D9</f>
        <v>0.42999999999999994</v>
      </c>
      <c r="F9" s="9">
        <f>(C9-D9)/C9</f>
        <v>0.23888888888888885</v>
      </c>
      <c r="G9" s="8">
        <f>(C9-D9)*30</f>
        <v>12.899999999999999</v>
      </c>
      <c r="H9" s="6" t="s">
        <v>17</v>
      </c>
    </row>
    <row r="10" spans="1:8" ht="15" customHeight="1" x14ac:dyDescent="0.2">
      <c r="A10" s="5" t="s">
        <v>20</v>
      </c>
      <c r="B10" s="6" t="s">
        <v>21</v>
      </c>
      <c r="C10" s="7">
        <v>1.78</v>
      </c>
      <c r="D10" s="8">
        <f>$B$29</f>
        <v>1.37</v>
      </c>
      <c r="E10" s="8">
        <f>C10-D10</f>
        <v>0.40999999999999992</v>
      </c>
      <c r="F10" s="9">
        <f>(C10-D10)/C10</f>
        <v>0.23033707865168535</v>
      </c>
      <c r="G10" s="8">
        <f>(C10-D10)*30</f>
        <v>12.299999999999997</v>
      </c>
      <c r="H10" s="6" t="s">
        <v>17</v>
      </c>
    </row>
    <row r="11" spans="1:8" ht="15" customHeight="1" x14ac:dyDescent="0.2">
      <c r="A11" s="5" t="s">
        <v>22</v>
      </c>
      <c r="B11" s="6" t="s">
        <v>23</v>
      </c>
      <c r="C11" s="7">
        <v>1.75</v>
      </c>
      <c r="D11" s="8">
        <f>$B$29</f>
        <v>1.37</v>
      </c>
      <c r="E11" s="8">
        <f>C11-D11</f>
        <v>0.37999999999999989</v>
      </c>
      <c r="F11" s="9">
        <f>(C11-D11)/C11</f>
        <v>0.21714285714285708</v>
      </c>
      <c r="G11" s="8">
        <f>(C11-D11)*30</f>
        <v>11.399999999999997</v>
      </c>
      <c r="H11" s="6" t="s">
        <v>17</v>
      </c>
    </row>
    <row r="12" spans="1:8" ht="15" customHeight="1" x14ac:dyDescent="0.2">
      <c r="A12" s="5" t="s">
        <v>24</v>
      </c>
      <c r="B12" s="6" t="s">
        <v>13</v>
      </c>
      <c r="C12" s="7">
        <v>0.8</v>
      </c>
      <c r="D12" s="6" t="s">
        <v>25</v>
      </c>
      <c r="E12" s="6" t="s">
        <v>25</v>
      </c>
      <c r="F12" s="6" t="s">
        <v>25</v>
      </c>
      <c r="G12" s="6" t="s">
        <v>25</v>
      </c>
      <c r="H12" s="6" t="s">
        <v>26</v>
      </c>
    </row>
    <row r="14" spans="1:8" ht="15" customHeight="1" x14ac:dyDescent="0.2">
      <c r="A14" s="10" t="s">
        <v>27</v>
      </c>
    </row>
    <row r="15" spans="1:8" ht="15" customHeight="1" x14ac:dyDescent="0.2">
      <c r="A15" s="4" t="s">
        <v>4</v>
      </c>
      <c r="B15" s="4" t="s">
        <v>28</v>
      </c>
      <c r="C15" s="4" t="s">
        <v>6</v>
      </c>
      <c r="D15" s="4" t="s">
        <v>29</v>
      </c>
      <c r="E15" s="4"/>
      <c r="F15" s="4"/>
      <c r="G15" s="4"/>
      <c r="H15" s="4"/>
    </row>
    <row r="16" spans="1:8" ht="15" customHeight="1" x14ac:dyDescent="0.2">
      <c r="A16" s="5" t="s">
        <v>12</v>
      </c>
      <c r="B16" s="11">
        <v>0.3</v>
      </c>
      <c r="C16" s="8">
        <f t="shared" ref="C16:C21" si="0">C7</f>
        <v>1.95</v>
      </c>
      <c r="D16" s="12">
        <f t="shared" ref="D16:D21" si="1">B16*C16</f>
        <v>0.58499999999999996</v>
      </c>
    </row>
    <row r="17" spans="1:8" ht="15" customHeight="1" x14ac:dyDescent="0.2">
      <c r="A17" s="5" t="s">
        <v>30</v>
      </c>
      <c r="B17" s="11">
        <v>0.12</v>
      </c>
      <c r="C17" s="8">
        <f t="shared" si="0"/>
        <v>1.85</v>
      </c>
      <c r="D17" s="12">
        <f t="shared" si="1"/>
        <v>0.222</v>
      </c>
    </row>
    <row r="18" spans="1:8" ht="15" customHeight="1" x14ac:dyDescent="0.2">
      <c r="A18" s="5" t="s">
        <v>31</v>
      </c>
      <c r="B18" s="11">
        <v>0.25</v>
      </c>
      <c r="C18" s="8">
        <f t="shared" si="0"/>
        <v>1.8</v>
      </c>
      <c r="D18" s="12">
        <f t="shared" si="1"/>
        <v>0.45</v>
      </c>
    </row>
    <row r="19" spans="1:8" ht="15" customHeight="1" x14ac:dyDescent="0.2">
      <c r="A19" s="5" t="s">
        <v>32</v>
      </c>
      <c r="B19" s="11">
        <v>0.18</v>
      </c>
      <c r="C19" s="8">
        <f t="shared" si="0"/>
        <v>1.78</v>
      </c>
      <c r="D19" s="12">
        <f t="shared" si="1"/>
        <v>0.32040000000000002</v>
      </c>
    </row>
    <row r="20" spans="1:8" ht="15" customHeight="1" x14ac:dyDescent="0.2">
      <c r="A20" s="5" t="s">
        <v>33</v>
      </c>
      <c r="B20" s="11">
        <v>0.12</v>
      </c>
      <c r="C20" s="8">
        <f t="shared" si="0"/>
        <v>1.75</v>
      </c>
      <c r="D20" s="12">
        <f t="shared" si="1"/>
        <v>0.21</v>
      </c>
    </row>
    <row r="21" spans="1:8" ht="15" customHeight="1" x14ac:dyDescent="0.2">
      <c r="A21" s="5" t="s">
        <v>34</v>
      </c>
      <c r="B21" s="11">
        <v>0.03</v>
      </c>
      <c r="C21" s="8">
        <f t="shared" si="0"/>
        <v>0.8</v>
      </c>
      <c r="D21" s="12">
        <f t="shared" si="1"/>
        <v>2.4E-2</v>
      </c>
    </row>
    <row r="22" spans="1:8" ht="15" customHeight="1" x14ac:dyDescent="0.2">
      <c r="A22" s="13" t="s">
        <v>35</v>
      </c>
      <c r="B22" s="14">
        <f>SUM(B16:B21)</f>
        <v>0.99999999999999989</v>
      </c>
      <c r="C22" s="15"/>
      <c r="D22" s="16">
        <f>SUM(D16:D21)</f>
        <v>1.8113999999999999</v>
      </c>
    </row>
    <row r="24" spans="1:8" ht="15.75" customHeight="1" x14ac:dyDescent="0.2">
      <c r="A24" s="3" t="s">
        <v>36</v>
      </c>
    </row>
    <row r="25" spans="1:8" ht="15" customHeight="1" x14ac:dyDescent="0.2">
      <c r="A25" s="4" t="s">
        <v>37</v>
      </c>
      <c r="B25" s="4" t="s">
        <v>38</v>
      </c>
      <c r="C25" s="4" t="s">
        <v>39</v>
      </c>
      <c r="D25" s="4"/>
      <c r="E25" s="4"/>
      <c r="F25" s="4"/>
      <c r="G25" s="4"/>
      <c r="H25" s="4"/>
    </row>
    <row r="26" spans="1:8" ht="15" customHeight="1" x14ac:dyDescent="0.2">
      <c r="A26" s="5" t="s">
        <v>40</v>
      </c>
      <c r="B26" s="7">
        <v>0.9</v>
      </c>
      <c r="C26" s="6" t="s">
        <v>41</v>
      </c>
    </row>
    <row r="27" spans="1:8" ht="15" customHeight="1" x14ac:dyDescent="0.2">
      <c r="A27" s="5" t="s">
        <v>42</v>
      </c>
      <c r="B27" s="7">
        <v>0.22</v>
      </c>
      <c r="C27" s="6" t="s">
        <v>43</v>
      </c>
    </row>
    <row r="28" spans="1:8" ht="15" customHeight="1" x14ac:dyDescent="0.2">
      <c r="A28" s="5" t="s">
        <v>44</v>
      </c>
      <c r="B28" s="7">
        <v>0.25</v>
      </c>
      <c r="C28" s="6" t="s">
        <v>45</v>
      </c>
    </row>
    <row r="29" spans="1:8" ht="15" customHeight="1" x14ac:dyDescent="0.2">
      <c r="A29" s="13" t="s">
        <v>46</v>
      </c>
      <c r="B29" s="17">
        <f>SUM(B26:B28)</f>
        <v>1.37</v>
      </c>
      <c r="C29" s="15" t="s">
        <v>47</v>
      </c>
    </row>
    <row r="31" spans="1:8" ht="15" customHeight="1" x14ac:dyDescent="0.2">
      <c r="A31" s="18" t="s">
        <v>48</v>
      </c>
      <c r="B31" s="19">
        <f>(D22-B29)/D22</f>
        <v>0.24367892238047908</v>
      </c>
      <c r="C31" s="20" t="s">
        <v>49</v>
      </c>
    </row>
    <row r="33" spans="1:8" ht="15.75" customHeight="1" x14ac:dyDescent="0.2">
      <c r="A33" s="3" t="s">
        <v>50</v>
      </c>
    </row>
    <row r="34" spans="1:8" ht="26.25" customHeight="1" x14ac:dyDescent="0.2">
      <c r="A34" s="4" t="s">
        <v>51</v>
      </c>
      <c r="B34" s="4" t="s">
        <v>52</v>
      </c>
      <c r="C34" s="4" t="s">
        <v>53</v>
      </c>
      <c r="D34" s="4" t="s">
        <v>54</v>
      </c>
      <c r="E34" s="4" t="s">
        <v>55</v>
      </c>
      <c r="F34" s="4" t="s">
        <v>56</v>
      </c>
      <c r="G34" s="4" t="s">
        <v>57</v>
      </c>
      <c r="H34" s="4"/>
    </row>
    <row r="35" spans="1:8" ht="15" customHeight="1" x14ac:dyDescent="0.2">
      <c r="A35" s="5" t="s">
        <v>58</v>
      </c>
      <c r="B35" s="21">
        <v>35</v>
      </c>
      <c r="C35" s="21">
        <v>160</v>
      </c>
      <c r="D35" s="21">
        <v>500</v>
      </c>
      <c r="E35" s="21">
        <v>1300</v>
      </c>
      <c r="F35" s="21">
        <v>3000</v>
      </c>
      <c r="G35" s="6" t="s">
        <v>59</v>
      </c>
      <c r="H35" s="6"/>
    </row>
    <row r="36" spans="1:8" ht="15" customHeight="1" x14ac:dyDescent="0.2">
      <c r="A36" s="5" t="s">
        <v>60</v>
      </c>
      <c r="B36" s="9" t="s">
        <v>25</v>
      </c>
      <c r="C36" s="9">
        <f>(C35-B35)/B35</f>
        <v>3.5714285714285716</v>
      </c>
      <c r="D36" s="9">
        <f>(D35-C35)/C35</f>
        <v>2.125</v>
      </c>
      <c r="E36" s="9">
        <f>(E35-D35)/D35</f>
        <v>1.6</v>
      </c>
      <c r="F36" s="9">
        <f>(F35-E35)/E35</f>
        <v>1.3076923076923077</v>
      </c>
      <c r="G36" s="6"/>
      <c r="H36" s="6"/>
    </row>
    <row r="37" spans="1:8" ht="15" customHeight="1" x14ac:dyDescent="0.2">
      <c r="A37" s="5" t="s">
        <v>61</v>
      </c>
      <c r="B37" s="22">
        <v>2.5</v>
      </c>
      <c r="C37" s="22">
        <v>2.5</v>
      </c>
      <c r="D37" s="22">
        <v>2.5</v>
      </c>
      <c r="E37" s="22">
        <v>2.5</v>
      </c>
      <c r="F37" s="22">
        <v>2.5</v>
      </c>
      <c r="G37" s="6" t="s">
        <v>62</v>
      </c>
      <c r="H37" s="6"/>
    </row>
    <row r="38" spans="1:8" ht="15" customHeight="1" x14ac:dyDescent="0.2">
      <c r="A38" s="5" t="s">
        <v>63</v>
      </c>
      <c r="B38" s="21">
        <v>30</v>
      </c>
      <c r="C38" s="21">
        <v>30</v>
      </c>
      <c r="D38" s="21">
        <v>30</v>
      </c>
      <c r="E38" s="21">
        <v>30</v>
      </c>
      <c r="F38" s="21">
        <v>30</v>
      </c>
      <c r="G38" s="6" t="s">
        <v>64</v>
      </c>
      <c r="H38" s="6"/>
    </row>
    <row r="39" spans="1:8" ht="15" customHeight="1" x14ac:dyDescent="0.2">
      <c r="A39" s="5" t="s">
        <v>65</v>
      </c>
      <c r="B39" s="23">
        <f>B35*B37*12</f>
        <v>1050</v>
      </c>
      <c r="C39" s="23">
        <f>C35*C37*12</f>
        <v>4800</v>
      </c>
      <c r="D39" s="23">
        <f>D35*D37*12</f>
        <v>15000</v>
      </c>
      <c r="E39" s="23">
        <f>E35*E37*12</f>
        <v>39000</v>
      </c>
      <c r="F39" s="23">
        <f>F35*F37*12</f>
        <v>90000</v>
      </c>
      <c r="G39" s="6" t="s">
        <v>66</v>
      </c>
      <c r="H39" s="6"/>
    </row>
    <row r="40" spans="1:8" ht="15" customHeight="1" x14ac:dyDescent="0.2">
      <c r="A40" s="5" t="s">
        <v>67</v>
      </c>
      <c r="B40" s="23">
        <f>B39*B38</f>
        <v>31500</v>
      </c>
      <c r="C40" s="23">
        <f>C39*C38</f>
        <v>144000</v>
      </c>
      <c r="D40" s="23">
        <f>D39*D38</f>
        <v>450000</v>
      </c>
      <c r="E40" s="23">
        <f>E39*E38</f>
        <v>1170000</v>
      </c>
      <c r="F40" s="23">
        <f>F39*F38</f>
        <v>2700000</v>
      </c>
      <c r="G40" s="6" t="s">
        <v>68</v>
      </c>
      <c r="H40" s="6"/>
    </row>
    <row r="42" spans="1:8" ht="15.75" customHeight="1" x14ac:dyDescent="0.2">
      <c r="A42" s="3" t="s">
        <v>69</v>
      </c>
    </row>
    <row r="43" spans="1:8" ht="15" customHeight="1" x14ac:dyDescent="0.2">
      <c r="A43" s="4" t="s">
        <v>51</v>
      </c>
      <c r="B43" s="4" t="s">
        <v>70</v>
      </c>
      <c r="C43" s="4" t="s">
        <v>71</v>
      </c>
      <c r="D43" s="4" t="s">
        <v>72</v>
      </c>
      <c r="E43" s="4" t="s">
        <v>73</v>
      </c>
      <c r="F43" s="4" t="s">
        <v>74</v>
      </c>
      <c r="G43" s="4" t="s">
        <v>39</v>
      </c>
      <c r="H43" s="4"/>
    </row>
    <row r="44" spans="1:8" ht="15" customHeight="1" x14ac:dyDescent="0.2">
      <c r="A44" s="5" t="s">
        <v>75</v>
      </c>
      <c r="B44" s="21">
        <v>2</v>
      </c>
      <c r="C44" s="21">
        <v>5</v>
      </c>
      <c r="D44" s="21">
        <v>12</v>
      </c>
      <c r="E44" s="21">
        <v>25</v>
      </c>
      <c r="F44" s="21">
        <v>50</v>
      </c>
      <c r="G44" s="6" t="s">
        <v>76</v>
      </c>
      <c r="H44" s="6"/>
    </row>
    <row r="45" spans="1:8" ht="15" customHeight="1" x14ac:dyDescent="0.2">
      <c r="A45" s="5" t="s">
        <v>77</v>
      </c>
      <c r="B45" s="24">
        <v>30</v>
      </c>
      <c r="C45" s="24">
        <v>30</v>
      </c>
      <c r="D45" s="24">
        <v>30</v>
      </c>
      <c r="E45" s="24">
        <v>30</v>
      </c>
      <c r="F45" s="24">
        <v>30</v>
      </c>
      <c r="G45" s="6" t="s">
        <v>78</v>
      </c>
      <c r="H45" s="6"/>
    </row>
    <row r="46" spans="1:8" ht="15" customHeight="1" x14ac:dyDescent="0.2">
      <c r="A46" s="13" t="s">
        <v>79</v>
      </c>
      <c r="B46" s="25">
        <f>B44*B45*12</f>
        <v>720</v>
      </c>
      <c r="C46" s="25">
        <f>C44*C45*12</f>
        <v>1800</v>
      </c>
      <c r="D46" s="25">
        <f>D44*D45*12</f>
        <v>4320</v>
      </c>
      <c r="E46" s="25">
        <f>E44*E45*12</f>
        <v>9000</v>
      </c>
      <c r="F46" s="25">
        <f>F44*F45*12</f>
        <v>18000</v>
      </c>
      <c r="G46" s="15" t="s">
        <v>80</v>
      </c>
      <c r="H46" s="6"/>
    </row>
    <row r="48" spans="1:8" ht="15.75" customHeight="1" x14ac:dyDescent="0.2">
      <c r="A48" s="3" t="s">
        <v>81</v>
      </c>
    </row>
    <row r="49" spans="1:8" ht="15" customHeight="1" x14ac:dyDescent="0.2">
      <c r="A49" s="4" t="s">
        <v>82</v>
      </c>
      <c r="B49" s="4" t="s">
        <v>70</v>
      </c>
      <c r="C49" s="4" t="s">
        <v>71</v>
      </c>
      <c r="D49" s="4" t="s">
        <v>72</v>
      </c>
      <c r="E49" s="4" t="s">
        <v>73</v>
      </c>
      <c r="F49" s="4" t="s">
        <v>74</v>
      </c>
      <c r="G49" s="4" t="s">
        <v>39</v>
      </c>
      <c r="H49" s="4"/>
    </row>
    <row r="50" spans="1:8" ht="15" customHeight="1" x14ac:dyDescent="0.2">
      <c r="A50" s="5" t="s">
        <v>83</v>
      </c>
      <c r="B50" s="24">
        <v>3600</v>
      </c>
      <c r="C50" s="24">
        <v>3600</v>
      </c>
      <c r="D50" s="24">
        <v>3600</v>
      </c>
      <c r="E50" s="24">
        <v>3600</v>
      </c>
      <c r="F50" s="24">
        <v>3600</v>
      </c>
      <c r="G50" s="6" t="s">
        <v>84</v>
      </c>
      <c r="H50" s="6"/>
    </row>
    <row r="51" spans="1:8" ht="15" customHeight="1" x14ac:dyDescent="0.2">
      <c r="A51" s="5" t="s">
        <v>85</v>
      </c>
      <c r="B51" s="21">
        <v>1</v>
      </c>
      <c r="C51" s="21">
        <v>1</v>
      </c>
      <c r="D51" s="21">
        <v>2</v>
      </c>
      <c r="E51" s="21">
        <v>3</v>
      </c>
      <c r="F51" s="21">
        <v>5</v>
      </c>
      <c r="G51" s="6" t="s">
        <v>86</v>
      </c>
      <c r="H51" s="6"/>
    </row>
    <row r="52" spans="1:8" ht="15" customHeight="1" x14ac:dyDescent="0.2">
      <c r="A52" s="5" t="s">
        <v>87</v>
      </c>
      <c r="B52" s="26">
        <f>B50*B51</f>
        <v>3600</v>
      </c>
      <c r="C52" s="26">
        <f>C50*C51</f>
        <v>3600</v>
      </c>
      <c r="D52" s="26">
        <f>D50*D51</f>
        <v>7200</v>
      </c>
      <c r="E52" s="26">
        <f>E50*E51</f>
        <v>10800</v>
      </c>
      <c r="F52" s="26">
        <f>F50*F51</f>
        <v>18000</v>
      </c>
      <c r="G52" s="6"/>
      <c r="H52" s="6"/>
    </row>
    <row r="53" spans="1:8" ht="15" customHeight="1" x14ac:dyDescent="0.2">
      <c r="A53" s="5" t="s">
        <v>88</v>
      </c>
      <c r="B53" s="24">
        <v>1200</v>
      </c>
      <c r="C53" s="24">
        <v>1200</v>
      </c>
      <c r="D53" s="24">
        <v>1200</v>
      </c>
      <c r="E53" s="24">
        <v>1200</v>
      </c>
      <c r="F53" s="24">
        <v>1200</v>
      </c>
      <c r="G53" s="6" t="s">
        <v>89</v>
      </c>
      <c r="H53" s="6"/>
    </row>
    <row r="54" spans="1:8" ht="15" customHeight="1" x14ac:dyDescent="0.2">
      <c r="A54" s="5" t="s">
        <v>90</v>
      </c>
      <c r="B54" s="24">
        <v>1800</v>
      </c>
      <c r="C54" s="24">
        <v>1800</v>
      </c>
      <c r="D54" s="24">
        <v>1800</v>
      </c>
      <c r="E54" s="24">
        <v>1800</v>
      </c>
      <c r="F54" s="24">
        <v>1800</v>
      </c>
      <c r="G54" s="6" t="s">
        <v>91</v>
      </c>
      <c r="H54" s="6"/>
    </row>
    <row r="55" spans="1:8" ht="15" customHeight="1" x14ac:dyDescent="0.2">
      <c r="A55" s="5" t="s">
        <v>92</v>
      </c>
      <c r="B55" s="24">
        <v>4800</v>
      </c>
      <c r="C55" s="24">
        <v>7200</v>
      </c>
      <c r="D55" s="24">
        <v>14400</v>
      </c>
      <c r="E55" s="24">
        <v>24000</v>
      </c>
      <c r="F55" s="24">
        <v>42000</v>
      </c>
      <c r="G55" s="6" t="s">
        <v>93</v>
      </c>
      <c r="H55" s="6"/>
    </row>
    <row r="56" spans="1:8" ht="15" customHeight="1" x14ac:dyDescent="0.2">
      <c r="A56" s="5" t="s">
        <v>94</v>
      </c>
      <c r="B56" s="24">
        <v>1500</v>
      </c>
      <c r="C56" s="24">
        <v>1500</v>
      </c>
      <c r="D56" s="24">
        <v>1500</v>
      </c>
      <c r="E56" s="24">
        <v>1500</v>
      </c>
      <c r="F56" s="24">
        <v>1500</v>
      </c>
      <c r="G56" s="6" t="s">
        <v>95</v>
      </c>
      <c r="H56" s="6"/>
    </row>
    <row r="57" spans="1:8" ht="15" customHeight="1" x14ac:dyDescent="0.2">
      <c r="A57" s="13" t="s">
        <v>96</v>
      </c>
      <c r="B57" s="25">
        <f>B52+B53+B54+B55+B56</f>
        <v>12900</v>
      </c>
      <c r="C57" s="25">
        <f>C52+C53+C54+C55+C56</f>
        <v>15300</v>
      </c>
      <c r="D57" s="25">
        <f>D52+D53+D54+D55+D56</f>
        <v>26100</v>
      </c>
      <c r="E57" s="25">
        <f>E52+E53+E54+E55+E56</f>
        <v>39300</v>
      </c>
      <c r="F57" s="25">
        <f>F52+F53+F54+F55+F56</f>
        <v>64500</v>
      </c>
      <c r="G57" s="15"/>
      <c r="H57" s="6"/>
    </row>
    <row r="59" spans="1:8" ht="15.75" customHeight="1" x14ac:dyDescent="0.2">
      <c r="A59" s="3" t="s">
        <v>97</v>
      </c>
    </row>
    <row r="60" spans="1:8" ht="15" customHeight="1" x14ac:dyDescent="0.2">
      <c r="A60" s="5" t="s">
        <v>98</v>
      </c>
      <c r="B60" s="26">
        <f>B57/12</f>
        <v>1075</v>
      </c>
      <c r="C60" s="6" t="s">
        <v>99</v>
      </c>
    </row>
    <row r="61" spans="1:8" ht="15" customHeight="1" x14ac:dyDescent="0.2">
      <c r="A61" s="5" t="s">
        <v>100</v>
      </c>
      <c r="B61" s="8">
        <f>(D22-B29)*B38</f>
        <v>13.241999999999994</v>
      </c>
      <c r="C61" s="6" t="s">
        <v>101</v>
      </c>
    </row>
    <row r="62" spans="1:8" ht="15" customHeight="1" x14ac:dyDescent="0.2">
      <c r="A62" s="18" t="s">
        <v>102</v>
      </c>
      <c r="B62" s="27">
        <f>ROUNDUP(B60/B61,0)</f>
        <v>82</v>
      </c>
      <c r="C62" s="20" t="s">
        <v>103</v>
      </c>
    </row>
    <row r="63" spans="1:8" ht="15" customHeight="1" x14ac:dyDescent="0.2">
      <c r="A63" s="18" t="s">
        <v>104</v>
      </c>
      <c r="B63" s="27">
        <f>ROUNDUP(B62/B37,0)</f>
        <v>33</v>
      </c>
      <c r="C63" s="20" t="s">
        <v>105</v>
      </c>
    </row>
    <row r="64" spans="1:8" ht="15" customHeight="1" x14ac:dyDescent="0.2">
      <c r="A64" s="18" t="s">
        <v>106</v>
      </c>
      <c r="B64" s="20" t="s">
        <v>107</v>
      </c>
      <c r="C64" s="20" t="s">
        <v>108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67"/>
  <sheetViews>
    <sheetView zoomScaleNormal="100" workbookViewId="0">
      <pane ySplit="4" topLeftCell="A5" activePane="bottomLeft" state="frozen"/>
      <selection pane="bottomLeft" activeCell="G8" sqref="G8"/>
    </sheetView>
  </sheetViews>
  <sheetFormatPr baseColWidth="10" defaultColWidth="8.6640625" defaultRowHeight="15" x14ac:dyDescent="0.2"/>
  <cols>
    <col min="1" max="1" width="40" customWidth="1"/>
    <col min="2" max="6" width="18" customWidth="1"/>
    <col min="7" max="7" width="5" customWidth="1"/>
  </cols>
  <sheetData>
    <row r="1" spans="1:6" ht="19.5" customHeight="1" x14ac:dyDescent="0.2">
      <c r="A1" s="1" t="s">
        <v>109</v>
      </c>
    </row>
    <row r="2" spans="1:6" ht="15" customHeight="1" x14ac:dyDescent="0.2">
      <c r="A2" s="2" t="s">
        <v>110</v>
      </c>
    </row>
    <row r="4" spans="1:6" ht="26.25" customHeight="1" x14ac:dyDescent="0.2">
      <c r="A4" s="4"/>
      <c r="B4" s="4" t="s">
        <v>111</v>
      </c>
      <c r="C4" s="4" t="s">
        <v>53</v>
      </c>
      <c r="D4" s="4" t="s">
        <v>54</v>
      </c>
      <c r="E4" s="4" t="s">
        <v>55</v>
      </c>
      <c r="F4" s="4" t="s">
        <v>56</v>
      </c>
    </row>
    <row r="6" spans="1:6" ht="15" customHeight="1" x14ac:dyDescent="0.2">
      <c r="A6" s="10" t="s">
        <v>112</v>
      </c>
    </row>
    <row r="7" spans="1:6" ht="15" customHeight="1" x14ac:dyDescent="0.2">
      <c r="A7" s="28" t="s">
        <v>113</v>
      </c>
      <c r="B7" s="29">
        <f>Assumptions!D22</f>
        <v>1.8113999999999999</v>
      </c>
      <c r="C7" s="29">
        <f>Assumptions!D22</f>
        <v>1.8113999999999999</v>
      </c>
      <c r="D7" s="29">
        <f>Assumptions!D22</f>
        <v>1.8113999999999999</v>
      </c>
      <c r="E7" s="29">
        <f>Assumptions!D22</f>
        <v>1.8113999999999999</v>
      </c>
      <c r="F7" s="29">
        <f>Assumptions!D22</f>
        <v>1.8113999999999999</v>
      </c>
    </row>
    <row r="8" spans="1:6" ht="15" customHeight="1" x14ac:dyDescent="0.2">
      <c r="A8" s="28" t="s">
        <v>114</v>
      </c>
      <c r="B8" s="30">
        <f>Assumptions!B29</f>
        <v>1.37</v>
      </c>
      <c r="C8" s="30">
        <f>Assumptions!B29</f>
        <v>1.37</v>
      </c>
      <c r="D8" s="30">
        <f>Assumptions!B29</f>
        <v>1.37</v>
      </c>
      <c r="E8" s="30">
        <f>Assumptions!B29</f>
        <v>1.37</v>
      </c>
      <c r="F8" s="30">
        <f>Assumptions!B29</f>
        <v>1.37</v>
      </c>
    </row>
    <row r="9" spans="1:6" ht="15" customHeight="1" x14ac:dyDescent="0.2">
      <c r="A9" s="28" t="s">
        <v>63</v>
      </c>
      <c r="B9" s="31">
        <f>Assumptions!B38</f>
        <v>30</v>
      </c>
      <c r="C9" s="31">
        <f>Assumptions!C38</f>
        <v>30</v>
      </c>
      <c r="D9" s="31">
        <f>Assumptions!D38</f>
        <v>30</v>
      </c>
      <c r="E9" s="31">
        <f>Assumptions!E38</f>
        <v>30</v>
      </c>
      <c r="F9" s="31">
        <f>Assumptions!F38</f>
        <v>30</v>
      </c>
    </row>
    <row r="10" spans="1:6" ht="15" customHeight="1" x14ac:dyDescent="0.2">
      <c r="A10" s="28" t="s">
        <v>58</v>
      </c>
      <c r="B10" s="31">
        <f>Assumptions!B35</f>
        <v>35</v>
      </c>
      <c r="C10" s="31">
        <f>Assumptions!C35</f>
        <v>160</v>
      </c>
      <c r="D10" s="31">
        <f>Assumptions!D35</f>
        <v>500</v>
      </c>
      <c r="E10" s="31">
        <f>Assumptions!E35</f>
        <v>1300</v>
      </c>
      <c r="F10" s="31">
        <f>Assumptions!F35</f>
        <v>3000</v>
      </c>
    </row>
    <row r="11" spans="1:6" ht="15" customHeight="1" x14ac:dyDescent="0.2">
      <c r="A11" s="28" t="s">
        <v>61</v>
      </c>
      <c r="B11" s="32">
        <f>Assumptions!B37</f>
        <v>2.5</v>
      </c>
      <c r="C11" s="32">
        <f>Assumptions!C37</f>
        <v>2.5</v>
      </c>
      <c r="D11" s="32">
        <f>Assumptions!D37</f>
        <v>2.5</v>
      </c>
      <c r="E11" s="32">
        <f>Assumptions!E37</f>
        <v>2.5</v>
      </c>
      <c r="F11" s="32">
        <f>Assumptions!F37</f>
        <v>2.5</v>
      </c>
    </row>
    <row r="12" spans="1:6" ht="15" customHeight="1" x14ac:dyDescent="0.2">
      <c r="A12" s="28" t="s">
        <v>115</v>
      </c>
      <c r="B12" s="31">
        <f>Assumptions!B44</f>
        <v>2</v>
      </c>
      <c r="C12" s="31">
        <f>Assumptions!C44</f>
        <v>5</v>
      </c>
      <c r="D12" s="31">
        <f>Assumptions!D44</f>
        <v>12</v>
      </c>
      <c r="E12" s="31">
        <f>Assumptions!E44</f>
        <v>25</v>
      </c>
      <c r="F12" s="31">
        <f>Assumptions!F44</f>
        <v>50</v>
      </c>
    </row>
    <row r="13" spans="1:6" ht="15" customHeight="1" x14ac:dyDescent="0.2">
      <c r="A13" s="28" t="s">
        <v>116</v>
      </c>
      <c r="B13" s="33">
        <f>Assumptions!B45</f>
        <v>30</v>
      </c>
      <c r="C13" s="33">
        <f>Assumptions!C45</f>
        <v>30</v>
      </c>
      <c r="D13" s="33">
        <f>Assumptions!D45</f>
        <v>30</v>
      </c>
      <c r="E13" s="33">
        <f>Assumptions!E45</f>
        <v>30</v>
      </c>
      <c r="F13" s="33">
        <f>Assumptions!F45</f>
        <v>30</v>
      </c>
    </row>
    <row r="15" spans="1:6" ht="15.75" customHeight="1" x14ac:dyDescent="0.2">
      <c r="A15" s="34" t="s">
        <v>117</v>
      </c>
      <c r="B15" s="35"/>
      <c r="C15" s="35"/>
      <c r="D15" s="35"/>
      <c r="E15" s="35"/>
      <c r="F15" s="35"/>
    </row>
    <row r="16" spans="1:6" ht="15" customHeight="1" x14ac:dyDescent="0.2">
      <c r="A16" s="28" t="s">
        <v>118</v>
      </c>
      <c r="B16" s="36">
        <f>B10*B11*12</f>
        <v>1050</v>
      </c>
      <c r="C16" s="36">
        <f>C10*C11*12</f>
        <v>4800</v>
      </c>
      <c r="D16" s="36">
        <f>D10*D11*12</f>
        <v>15000</v>
      </c>
      <c r="E16" s="36">
        <f>E10*E11*12</f>
        <v>39000</v>
      </c>
      <c r="F16" s="36">
        <f>F10*F11*12</f>
        <v>90000</v>
      </c>
    </row>
    <row r="17" spans="1:6" ht="15" customHeight="1" x14ac:dyDescent="0.2">
      <c r="A17" s="28" t="s">
        <v>67</v>
      </c>
      <c r="B17" s="36">
        <f>B16*B9</f>
        <v>31500</v>
      </c>
      <c r="C17" s="36">
        <f>C16*C9</f>
        <v>144000</v>
      </c>
      <c r="D17" s="36">
        <f>D16*D9</f>
        <v>450000</v>
      </c>
      <c r="E17" s="36">
        <f>E16*E9</f>
        <v>1170000</v>
      </c>
      <c r="F17" s="36">
        <f>F16*F9</f>
        <v>2700000</v>
      </c>
    </row>
    <row r="18" spans="1:6" ht="15" customHeight="1" x14ac:dyDescent="0.2">
      <c r="A18" s="28" t="s">
        <v>119</v>
      </c>
      <c r="B18" s="37">
        <f>B17*B7</f>
        <v>57059.1</v>
      </c>
      <c r="C18" s="37">
        <f>C17*C7</f>
        <v>260841.59999999998</v>
      </c>
      <c r="D18" s="37">
        <f>D17*D7</f>
        <v>815130</v>
      </c>
      <c r="E18" s="37">
        <f>E17*E7</f>
        <v>2119338</v>
      </c>
      <c r="F18" s="37">
        <f>F17*F7</f>
        <v>4890780</v>
      </c>
    </row>
    <row r="19" spans="1:6" ht="15" customHeight="1" x14ac:dyDescent="0.2">
      <c r="A19" s="28" t="s">
        <v>120</v>
      </c>
      <c r="B19" s="37">
        <f>B12*B13*12</f>
        <v>720</v>
      </c>
      <c r="C19" s="37">
        <f>C12*C13*12</f>
        <v>1800</v>
      </c>
      <c r="D19" s="37">
        <f>D12*D13*12</f>
        <v>4320</v>
      </c>
      <c r="E19" s="37">
        <f>E12*E13*12</f>
        <v>9000</v>
      </c>
      <c r="F19" s="37">
        <f>F12*F13*12</f>
        <v>18000</v>
      </c>
    </row>
    <row r="20" spans="1:6" ht="15" customHeight="1" x14ac:dyDescent="0.2">
      <c r="A20" s="38" t="s">
        <v>121</v>
      </c>
      <c r="B20" s="39">
        <f>B18+B19</f>
        <v>57779.1</v>
      </c>
      <c r="C20" s="39">
        <f>C18+C19</f>
        <v>262641.59999999998</v>
      </c>
      <c r="D20" s="39">
        <f>D18+D19</f>
        <v>819450</v>
      </c>
      <c r="E20" s="39">
        <f>E18+E19</f>
        <v>2128338</v>
      </c>
      <c r="F20" s="39">
        <f>F18+F19</f>
        <v>4908780</v>
      </c>
    </row>
    <row r="22" spans="1:6" ht="15.75" customHeight="1" x14ac:dyDescent="0.2">
      <c r="A22" s="40" t="s">
        <v>122</v>
      </c>
      <c r="B22" s="41"/>
      <c r="C22" s="41"/>
      <c r="D22" s="41"/>
      <c r="E22" s="41"/>
      <c r="F22" s="41"/>
    </row>
    <row r="23" spans="1:6" ht="15" customHeight="1" x14ac:dyDescent="0.2">
      <c r="A23" s="28" t="s">
        <v>123</v>
      </c>
      <c r="B23" s="37">
        <f>B17*B8</f>
        <v>43155</v>
      </c>
      <c r="C23" s="37">
        <f>C17*C8</f>
        <v>197280.00000000003</v>
      </c>
      <c r="D23" s="37">
        <f>D17*D8</f>
        <v>616500</v>
      </c>
      <c r="E23" s="37">
        <f>E17*E8</f>
        <v>1602900.0000000002</v>
      </c>
      <c r="F23" s="37">
        <f>F17*F8</f>
        <v>3699000.0000000005</v>
      </c>
    </row>
    <row r="24" spans="1:6" ht="15" customHeight="1" x14ac:dyDescent="0.2">
      <c r="A24" s="42" t="s">
        <v>124</v>
      </c>
      <c r="B24" s="43">
        <f>B20-B23</f>
        <v>14624.099999999999</v>
      </c>
      <c r="C24" s="43">
        <f>C20-C23</f>
        <v>65361.599999999948</v>
      </c>
      <c r="D24" s="43">
        <f>D20-D23</f>
        <v>202950</v>
      </c>
      <c r="E24" s="43">
        <f>E20-E23</f>
        <v>525437.99999999977</v>
      </c>
      <c r="F24" s="43">
        <f>F20-F23</f>
        <v>1209779.9999999995</v>
      </c>
    </row>
    <row r="25" spans="1:6" ht="15" customHeight="1" x14ac:dyDescent="0.2">
      <c r="A25" s="28" t="s">
        <v>9</v>
      </c>
      <c r="B25" s="44">
        <f>IF(B20=0,0,B24/B20)</f>
        <v>0.25310363089767751</v>
      </c>
      <c r="C25" s="44">
        <f>IF(C20=0,0,C24/C20)</f>
        <v>0.24886232797850741</v>
      </c>
      <c r="D25" s="44">
        <f>IF(D20=0,0,D24/D20)</f>
        <v>0.24766611751784734</v>
      </c>
      <c r="E25" s="44">
        <f>IF(E20=0,0,E24/E20)</f>
        <v>0.24687714075489878</v>
      </c>
      <c r="F25" s="44">
        <f>IF(F20=0,0,F24/F20)</f>
        <v>0.24645227531076958</v>
      </c>
    </row>
    <row r="27" spans="1:6" ht="15.75" customHeight="1" x14ac:dyDescent="0.2">
      <c r="A27" s="40" t="s">
        <v>125</v>
      </c>
      <c r="B27" s="41"/>
      <c r="C27" s="41"/>
      <c r="D27" s="41"/>
      <c r="E27" s="41"/>
      <c r="F27" s="41"/>
    </row>
    <row r="28" spans="1:6" ht="15" customHeight="1" x14ac:dyDescent="0.2">
      <c r="A28" s="28" t="s">
        <v>126</v>
      </c>
      <c r="B28" s="33">
        <f>Assumptions!B52</f>
        <v>3600</v>
      </c>
      <c r="C28" s="33">
        <f>Assumptions!C52</f>
        <v>3600</v>
      </c>
      <c r="D28" s="33">
        <f>Assumptions!D52</f>
        <v>7200</v>
      </c>
      <c r="E28" s="33">
        <f>Assumptions!E52</f>
        <v>10800</v>
      </c>
      <c r="F28" s="33">
        <f>Assumptions!F52</f>
        <v>18000</v>
      </c>
    </row>
    <row r="29" spans="1:6" ht="15" customHeight="1" x14ac:dyDescent="0.2">
      <c r="A29" s="28" t="s">
        <v>88</v>
      </c>
      <c r="B29" s="33">
        <f>Assumptions!B53</f>
        <v>1200</v>
      </c>
      <c r="C29" s="33">
        <f>Assumptions!C53</f>
        <v>1200</v>
      </c>
      <c r="D29" s="33">
        <f>Assumptions!D53</f>
        <v>1200</v>
      </c>
      <c r="E29" s="33">
        <f>Assumptions!E53</f>
        <v>1200</v>
      </c>
      <c r="F29" s="33">
        <f>Assumptions!F53</f>
        <v>1200</v>
      </c>
    </row>
    <row r="30" spans="1:6" ht="15" customHeight="1" x14ac:dyDescent="0.2">
      <c r="A30" s="28" t="s">
        <v>90</v>
      </c>
      <c r="B30" s="33">
        <f>Assumptions!B54</f>
        <v>1800</v>
      </c>
      <c r="C30" s="33">
        <f>Assumptions!C54</f>
        <v>1800</v>
      </c>
      <c r="D30" s="33">
        <f>Assumptions!D54</f>
        <v>1800</v>
      </c>
      <c r="E30" s="33">
        <f>Assumptions!E54</f>
        <v>1800</v>
      </c>
      <c r="F30" s="33">
        <f>Assumptions!F54</f>
        <v>1800</v>
      </c>
    </row>
    <row r="31" spans="1:6" ht="15" customHeight="1" x14ac:dyDescent="0.2">
      <c r="A31" s="28" t="s">
        <v>92</v>
      </c>
      <c r="B31" s="33">
        <f>Assumptions!B55</f>
        <v>4800</v>
      </c>
      <c r="C31" s="33">
        <f>Assumptions!C55</f>
        <v>7200</v>
      </c>
      <c r="D31" s="33">
        <f>Assumptions!D55</f>
        <v>14400</v>
      </c>
      <c r="E31" s="33">
        <f>Assumptions!E55</f>
        <v>24000</v>
      </c>
      <c r="F31" s="33">
        <f>Assumptions!F55</f>
        <v>42000</v>
      </c>
    </row>
    <row r="32" spans="1:6" ht="15" customHeight="1" x14ac:dyDescent="0.2">
      <c r="A32" s="28" t="s">
        <v>94</v>
      </c>
      <c r="B32" s="33">
        <f>Assumptions!B56</f>
        <v>1500</v>
      </c>
      <c r="C32" s="33">
        <f>Assumptions!C56</f>
        <v>1500</v>
      </c>
      <c r="D32" s="33">
        <f>Assumptions!D56</f>
        <v>1500</v>
      </c>
      <c r="E32" s="33">
        <f>Assumptions!E56</f>
        <v>1500</v>
      </c>
      <c r="F32" s="33">
        <f>Assumptions!F56</f>
        <v>1500</v>
      </c>
    </row>
    <row r="33" spans="1:6" ht="15" customHeight="1" x14ac:dyDescent="0.2">
      <c r="A33" s="38" t="s">
        <v>96</v>
      </c>
      <c r="B33" s="45">
        <f>Assumptions!B57</f>
        <v>12900</v>
      </c>
      <c r="C33" s="45">
        <f>Assumptions!C57</f>
        <v>15300</v>
      </c>
      <c r="D33" s="45">
        <f>Assumptions!D57</f>
        <v>26100</v>
      </c>
      <c r="E33" s="45">
        <f>Assumptions!E57</f>
        <v>39300</v>
      </c>
      <c r="F33" s="45">
        <f>Assumptions!F57</f>
        <v>64500</v>
      </c>
    </row>
    <row r="35" spans="1:6" ht="15.75" customHeight="1" x14ac:dyDescent="0.2">
      <c r="A35" s="46" t="s">
        <v>127</v>
      </c>
      <c r="B35" s="47"/>
      <c r="C35" s="47"/>
      <c r="D35" s="47"/>
      <c r="E35" s="47"/>
      <c r="F35" s="47"/>
    </row>
    <row r="36" spans="1:6" ht="15" customHeight="1" x14ac:dyDescent="0.2">
      <c r="A36" s="42" t="s">
        <v>127</v>
      </c>
      <c r="B36" s="48">
        <f>B24-B33</f>
        <v>1724.0999999999985</v>
      </c>
      <c r="C36" s="48">
        <f>C24-C33</f>
        <v>50061.599999999948</v>
      </c>
      <c r="D36" s="48">
        <f>D24-D33</f>
        <v>176850</v>
      </c>
      <c r="E36" s="48">
        <f>E24-E33</f>
        <v>486137.99999999977</v>
      </c>
      <c r="F36" s="48">
        <f>F24-F33</f>
        <v>1145279.9999999995</v>
      </c>
    </row>
    <row r="37" spans="1:6" ht="15" customHeight="1" x14ac:dyDescent="0.2">
      <c r="A37" s="28" t="s">
        <v>128</v>
      </c>
      <c r="B37" s="49">
        <f>IF(B20=0,0,B36/B20)</f>
        <v>2.9839509441995437E-2</v>
      </c>
      <c r="C37" s="49">
        <f>IF(C20=0,0,C36/C20)</f>
        <v>0.19060803772136611</v>
      </c>
      <c r="D37" s="49">
        <f>IF(D20=0,0,D36/D20)</f>
        <v>0.21581548599670511</v>
      </c>
      <c r="E37" s="49">
        <f>IF(E20=0,0,E36/E20)</f>
        <v>0.22841202854057943</v>
      </c>
      <c r="F37" s="49">
        <f>IF(F20=0,0,F36/F20)</f>
        <v>0.23331255423954619</v>
      </c>
    </row>
    <row r="38" spans="1:6" ht="15" customHeight="1" x14ac:dyDescent="0.2">
      <c r="A38" s="28" t="s">
        <v>129</v>
      </c>
      <c r="B38" s="50">
        <f>B36</f>
        <v>1724.0999999999985</v>
      </c>
      <c r="C38" s="50">
        <f>B38+C36</f>
        <v>51785.699999999946</v>
      </c>
      <c r="D38" s="50">
        <f>C38+D36</f>
        <v>228635.69999999995</v>
      </c>
      <c r="E38" s="50">
        <f>D38+E36</f>
        <v>714773.69999999972</v>
      </c>
      <c r="F38" s="50">
        <f>E38+F36</f>
        <v>1860053.6999999993</v>
      </c>
    </row>
    <row r="40" spans="1:6" ht="15" customHeight="1" x14ac:dyDescent="0.2">
      <c r="A40" s="10" t="s">
        <v>130</v>
      </c>
    </row>
    <row r="41" spans="1:6" ht="15" customHeight="1" x14ac:dyDescent="0.2">
      <c r="A41" s="28" t="s">
        <v>131</v>
      </c>
      <c r="B41" s="51">
        <f>IF(B16=0,0,B20/B16)</f>
        <v>55.027714285714282</v>
      </c>
      <c r="C41" s="51">
        <f>IF(C16=0,0,C20/C16)</f>
        <v>54.716999999999992</v>
      </c>
      <c r="D41" s="51">
        <f>IF(D16=0,0,D20/D16)</f>
        <v>54.63</v>
      </c>
      <c r="E41" s="51">
        <f>IF(E16=0,0,E20/E16)</f>
        <v>54.572769230769232</v>
      </c>
      <c r="F41" s="51">
        <f>IF(F16=0,0,F20/F16)</f>
        <v>54.542000000000002</v>
      </c>
    </row>
    <row r="42" spans="1:6" ht="15" customHeight="1" x14ac:dyDescent="0.2">
      <c r="A42" s="28" t="s">
        <v>132</v>
      </c>
      <c r="B42" s="51">
        <f>IF(B16=0,0,B24/B16)</f>
        <v>13.927714285714284</v>
      </c>
      <c r="C42" s="51">
        <f>IF(C16=0,0,C24/C16)</f>
        <v>13.616999999999988</v>
      </c>
      <c r="D42" s="51">
        <f>IF(D16=0,0,D24/D16)</f>
        <v>13.53</v>
      </c>
      <c r="E42" s="51">
        <f>IF(E16=0,0,E24/E16)</f>
        <v>13.472769230769226</v>
      </c>
      <c r="F42" s="51">
        <f>IF(F16=0,0,F24/F16)</f>
        <v>13.441999999999995</v>
      </c>
    </row>
    <row r="43" spans="1:6" ht="15" customHeight="1" x14ac:dyDescent="0.2">
      <c r="A43" s="28" t="s">
        <v>133</v>
      </c>
      <c r="B43" s="37">
        <f>IF(B10=0,0,B20/B10)</f>
        <v>1650.8314285714284</v>
      </c>
      <c r="C43" s="37">
        <f>IF(C10=0,0,C20/C10)</f>
        <v>1641.5099999999998</v>
      </c>
      <c r="D43" s="37">
        <f>IF(D10=0,0,D20/D10)</f>
        <v>1638.9</v>
      </c>
      <c r="E43" s="37">
        <f>IF(E10=0,0,E20/E10)</f>
        <v>1637.1830769230769</v>
      </c>
      <c r="F43" s="37">
        <f>IF(F10=0,0,F20/F10)</f>
        <v>1636.26</v>
      </c>
    </row>
    <row r="45" spans="1:6" ht="15" customHeight="1" x14ac:dyDescent="0.2">
      <c r="A45" s="2" t="s">
        <v>134</v>
      </c>
      <c r="B45" t="s">
        <v>70</v>
      </c>
      <c r="C45" t="s">
        <v>71</v>
      </c>
      <c r="D45" t="s">
        <v>72</v>
      </c>
      <c r="E45" t="s">
        <v>73</v>
      </c>
      <c r="F45" t="s">
        <v>74</v>
      </c>
    </row>
    <row r="46" spans="1:6" ht="15" customHeight="1" x14ac:dyDescent="0.2">
      <c r="A46" t="s">
        <v>135</v>
      </c>
      <c r="B46" s="52">
        <f>B20</f>
        <v>57779.1</v>
      </c>
      <c r="C46" s="52">
        <f>C20</f>
        <v>262641.59999999998</v>
      </c>
      <c r="D46" s="52">
        <f>D20</f>
        <v>819450</v>
      </c>
      <c r="E46" s="52">
        <f>E20</f>
        <v>2128338</v>
      </c>
      <c r="F46" s="52">
        <f>F20</f>
        <v>4908780</v>
      </c>
    </row>
    <row r="47" spans="1:6" ht="15" customHeight="1" x14ac:dyDescent="0.2">
      <c r="A47" t="s">
        <v>127</v>
      </c>
      <c r="B47" s="52">
        <f>B36</f>
        <v>1724.0999999999985</v>
      </c>
      <c r="C47" s="52">
        <f>C36</f>
        <v>50061.599999999948</v>
      </c>
      <c r="D47" s="52">
        <f>D36</f>
        <v>176850</v>
      </c>
      <c r="E47" s="52">
        <f>E36</f>
        <v>486137.99999999977</v>
      </c>
      <c r="F47" s="52">
        <f>F36</f>
        <v>1145279.9999999995</v>
      </c>
    </row>
    <row r="48" spans="1:6" ht="15" customHeight="1" x14ac:dyDescent="0.2">
      <c r="A48" t="s">
        <v>9</v>
      </c>
      <c r="B48" s="63" t="s">
        <v>136</v>
      </c>
    </row>
    <row r="66" spans="1:6" ht="15" customHeight="1" x14ac:dyDescent="0.2">
      <c r="A66" t="s">
        <v>9</v>
      </c>
      <c r="B66" s="53">
        <f>B25</f>
        <v>0.25310363089767751</v>
      </c>
      <c r="C66" s="53">
        <f>C25</f>
        <v>0.24886232797850741</v>
      </c>
      <c r="D66" s="53">
        <f>D25</f>
        <v>0.24766611751784734</v>
      </c>
      <c r="E66" s="53">
        <f>E25</f>
        <v>0.24687714075489878</v>
      </c>
      <c r="F66" s="53">
        <f>F25</f>
        <v>0.24645227531076958</v>
      </c>
    </row>
    <row r="67" spans="1:6" ht="15" customHeight="1" x14ac:dyDescent="0.2">
      <c r="A67" t="s">
        <v>128</v>
      </c>
      <c r="B67" s="53">
        <f>B37</f>
        <v>2.9839509441995437E-2</v>
      </c>
      <c r="C67" s="53">
        <f>C37</f>
        <v>0.19060803772136611</v>
      </c>
      <c r="D67" s="53">
        <f>D37</f>
        <v>0.21581548599670511</v>
      </c>
      <c r="E67" s="53">
        <f>E37</f>
        <v>0.22841202854057943</v>
      </c>
      <c r="F67" s="53">
        <f>F37</f>
        <v>0.23331255423954619</v>
      </c>
    </row>
  </sheetData>
  <pageMargins left="0.75" right="0.75" top="1" bottom="1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G52"/>
  <sheetViews>
    <sheetView topLeftCell="A13" zoomScaleNormal="100" workbookViewId="0">
      <selection activeCell="B16" sqref="B16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12" customWidth="1"/>
    <col min="4" max="4" width="55" customWidth="1"/>
    <col min="5" max="5" width="3" customWidth="1"/>
    <col min="6" max="6" width="28" customWidth="1"/>
    <col min="7" max="7" width="16" customWidth="1"/>
  </cols>
  <sheetData>
    <row r="1" spans="1:4" ht="19.5" customHeight="1" x14ac:dyDescent="0.2">
      <c r="A1" s="1" t="s">
        <v>137</v>
      </c>
    </row>
    <row r="2" spans="1:4" ht="15" customHeight="1" x14ac:dyDescent="0.2">
      <c r="A2" s="2" t="s">
        <v>138</v>
      </c>
    </row>
    <row r="4" spans="1:4" ht="15.75" customHeight="1" x14ac:dyDescent="0.2">
      <c r="A4" s="3" t="s">
        <v>139</v>
      </c>
    </row>
    <row r="5" spans="1:4" ht="15" customHeight="1" x14ac:dyDescent="0.2">
      <c r="A5" s="4" t="s">
        <v>140</v>
      </c>
      <c r="B5" s="4" t="s">
        <v>141</v>
      </c>
      <c r="C5" s="4" t="s">
        <v>142</v>
      </c>
      <c r="D5" s="4" t="s">
        <v>143</v>
      </c>
    </row>
    <row r="6" spans="1:4" ht="15" customHeight="1" x14ac:dyDescent="0.2">
      <c r="A6" s="54" t="s">
        <v>144</v>
      </c>
      <c r="B6" s="55"/>
      <c r="C6" s="55"/>
      <c r="D6" s="55"/>
    </row>
    <row r="7" spans="1:4" ht="15" customHeight="1" x14ac:dyDescent="0.2">
      <c r="A7" s="5" t="s">
        <v>145</v>
      </c>
      <c r="B7" s="24">
        <v>3500</v>
      </c>
      <c r="C7" s="56">
        <f t="shared" ref="C7:C13" si="0">B7/10000</f>
        <v>0.35</v>
      </c>
      <c r="D7" s="6" t="s">
        <v>146</v>
      </c>
    </row>
    <row r="8" spans="1:4" ht="15" customHeight="1" x14ac:dyDescent="0.2">
      <c r="A8" s="5" t="s">
        <v>147</v>
      </c>
      <c r="B8" s="24">
        <v>265</v>
      </c>
      <c r="C8" s="56">
        <f t="shared" si="0"/>
        <v>2.6499999999999999E-2</v>
      </c>
      <c r="D8" s="6" t="s">
        <v>148</v>
      </c>
    </row>
    <row r="9" spans="1:4" ht="15" customHeight="1" x14ac:dyDescent="0.2">
      <c r="A9" s="5" t="s">
        <v>149</v>
      </c>
      <c r="B9" s="24">
        <v>300</v>
      </c>
      <c r="C9" s="56">
        <f t="shared" si="0"/>
        <v>0.03</v>
      </c>
      <c r="D9" s="6" t="s">
        <v>150</v>
      </c>
    </row>
    <row r="10" spans="1:4" ht="15" customHeight="1" x14ac:dyDescent="0.2">
      <c r="A10" s="5" t="s">
        <v>151</v>
      </c>
      <c r="B10" s="24">
        <v>200</v>
      </c>
      <c r="C10" s="56">
        <f t="shared" si="0"/>
        <v>0.02</v>
      </c>
      <c r="D10" s="6" t="s">
        <v>152</v>
      </c>
    </row>
    <row r="11" spans="1:4" ht="15" customHeight="1" x14ac:dyDescent="0.2">
      <c r="A11" s="5" t="s">
        <v>153</v>
      </c>
      <c r="B11" s="24">
        <v>800</v>
      </c>
      <c r="C11" s="56">
        <f t="shared" si="0"/>
        <v>0.08</v>
      </c>
      <c r="D11" s="6" t="s">
        <v>154</v>
      </c>
    </row>
    <row r="12" spans="1:4" ht="15" customHeight="1" x14ac:dyDescent="0.2">
      <c r="A12" s="5" t="s">
        <v>155</v>
      </c>
      <c r="B12" s="24">
        <v>435</v>
      </c>
      <c r="C12" s="56">
        <f t="shared" si="0"/>
        <v>4.3499999999999997E-2</v>
      </c>
      <c r="D12" s="6" t="s">
        <v>156</v>
      </c>
    </row>
    <row r="13" spans="1:4" ht="15" customHeight="1" x14ac:dyDescent="0.2">
      <c r="A13" s="13" t="s">
        <v>157</v>
      </c>
      <c r="B13" s="25">
        <f>SUM(B7:B12)</f>
        <v>5500</v>
      </c>
      <c r="C13" s="57">
        <f t="shared" si="0"/>
        <v>0.55000000000000004</v>
      </c>
      <c r="D13" s="15"/>
    </row>
    <row r="14" spans="1:4" ht="15" customHeight="1" x14ac:dyDescent="0.2">
      <c r="A14" s="54" t="s">
        <v>158</v>
      </c>
      <c r="B14" s="55"/>
      <c r="C14" s="55"/>
      <c r="D14" s="55"/>
    </row>
    <row r="15" spans="1:4" ht="15" customHeight="1" x14ac:dyDescent="0.2">
      <c r="A15" s="5" t="s">
        <v>159</v>
      </c>
      <c r="B15" s="24">
        <v>1000</v>
      </c>
      <c r="C15" s="56">
        <f>B15/10000</f>
        <v>0.1</v>
      </c>
      <c r="D15" s="6" t="s">
        <v>160</v>
      </c>
    </row>
    <row r="16" spans="1:4" ht="15" customHeight="1" x14ac:dyDescent="0.2">
      <c r="A16" s="5" t="s">
        <v>161</v>
      </c>
      <c r="B16" s="24">
        <v>500</v>
      </c>
      <c r="C16" s="56">
        <f>B16/10000</f>
        <v>0.05</v>
      </c>
      <c r="D16" s="6" t="s">
        <v>162</v>
      </c>
    </row>
    <row r="17" spans="1:4" ht="15" customHeight="1" x14ac:dyDescent="0.2">
      <c r="A17" s="5" t="s">
        <v>163</v>
      </c>
      <c r="B17" s="24">
        <v>500</v>
      </c>
      <c r="C17" s="56">
        <f>B17/10000</f>
        <v>0.05</v>
      </c>
      <c r="D17" s="6" t="s">
        <v>164</v>
      </c>
    </row>
    <row r="18" spans="1:4" ht="15" customHeight="1" x14ac:dyDescent="0.2">
      <c r="A18" s="5" t="s">
        <v>165</v>
      </c>
      <c r="B18" s="24">
        <v>500</v>
      </c>
      <c r="C18" s="56">
        <f>B18/10000</f>
        <v>0.05</v>
      </c>
      <c r="D18" s="6" t="s">
        <v>166</v>
      </c>
    </row>
    <row r="19" spans="1:4" ht="15" customHeight="1" x14ac:dyDescent="0.2">
      <c r="A19" s="13" t="s">
        <v>167</v>
      </c>
      <c r="B19" s="25">
        <f>SUM(B15:B18)</f>
        <v>2500</v>
      </c>
      <c r="C19" s="57">
        <f>B19/10000</f>
        <v>0.25</v>
      </c>
      <c r="D19" s="15"/>
    </row>
    <row r="20" spans="1:4" ht="15" customHeight="1" x14ac:dyDescent="0.2">
      <c r="A20" s="54" t="s">
        <v>168</v>
      </c>
      <c r="B20" s="55"/>
      <c r="C20" s="55"/>
      <c r="D20" s="55"/>
    </row>
    <row r="21" spans="1:4" ht="15" customHeight="1" x14ac:dyDescent="0.2">
      <c r="A21" s="5" t="s">
        <v>169</v>
      </c>
      <c r="B21" s="24">
        <v>1200</v>
      </c>
      <c r="C21" s="56">
        <f>B21/10000</f>
        <v>0.12</v>
      </c>
      <c r="D21" s="6" t="s">
        <v>170</v>
      </c>
    </row>
    <row r="22" spans="1:4" ht="15" customHeight="1" x14ac:dyDescent="0.2">
      <c r="A22" s="5" t="s">
        <v>171</v>
      </c>
      <c r="B22" s="24">
        <v>400</v>
      </c>
      <c r="C22" s="56">
        <f>B22/10000</f>
        <v>0.04</v>
      </c>
      <c r="D22" s="6" t="s">
        <v>172</v>
      </c>
    </row>
    <row r="23" spans="1:4" ht="15" customHeight="1" x14ac:dyDescent="0.2">
      <c r="A23" s="5" t="s">
        <v>173</v>
      </c>
      <c r="B23" s="24">
        <v>400</v>
      </c>
      <c r="C23" s="56">
        <f>B23/10000</f>
        <v>0.04</v>
      </c>
      <c r="D23" s="6" t="s">
        <v>174</v>
      </c>
    </row>
    <row r="24" spans="1:4" ht="15" customHeight="1" x14ac:dyDescent="0.2">
      <c r="A24" s="13" t="s">
        <v>175</v>
      </c>
      <c r="B24" s="25">
        <f>SUM(B21:B23)</f>
        <v>2000</v>
      </c>
      <c r="C24" s="57">
        <f>B24/10000</f>
        <v>0.2</v>
      </c>
      <c r="D24" s="15"/>
    </row>
    <row r="26" spans="1:4" ht="15" customHeight="1" x14ac:dyDescent="0.2">
      <c r="A26" s="18" t="s">
        <v>176</v>
      </c>
      <c r="B26" s="58">
        <f>B13+B19+B24</f>
        <v>10000</v>
      </c>
      <c r="C26" s="59">
        <f>B26/10000</f>
        <v>1</v>
      </c>
      <c r="D26" s="20" t="s">
        <v>177</v>
      </c>
    </row>
    <row r="28" spans="1:4" ht="15.75" customHeight="1" x14ac:dyDescent="0.2">
      <c r="A28" s="3" t="s">
        <v>178</v>
      </c>
    </row>
    <row r="29" spans="1:4" ht="15" customHeight="1" x14ac:dyDescent="0.2">
      <c r="A29" s="2" t="s">
        <v>179</v>
      </c>
    </row>
    <row r="31" spans="1:4" ht="15" customHeight="1" x14ac:dyDescent="0.2">
      <c r="A31" s="4" t="s">
        <v>180</v>
      </c>
      <c r="B31" s="4" t="s">
        <v>181</v>
      </c>
      <c r="C31" s="4" t="s">
        <v>182</v>
      </c>
      <c r="D31" s="4" t="s">
        <v>183</v>
      </c>
    </row>
    <row r="32" spans="1:4" ht="15" customHeight="1" x14ac:dyDescent="0.2">
      <c r="A32" s="5" t="s">
        <v>184</v>
      </c>
      <c r="B32" s="26">
        <v>13000</v>
      </c>
      <c r="C32" s="6" t="s">
        <v>185</v>
      </c>
      <c r="D32" s="6" t="s">
        <v>186</v>
      </c>
    </row>
    <row r="33" spans="1:4" ht="15" customHeight="1" x14ac:dyDescent="0.2">
      <c r="A33" s="5" t="s">
        <v>187</v>
      </c>
      <c r="B33" s="26">
        <v>5000</v>
      </c>
      <c r="C33" s="6" t="s">
        <v>188</v>
      </c>
      <c r="D33" s="6" t="s">
        <v>189</v>
      </c>
    </row>
    <row r="34" spans="1:4" ht="15" customHeight="1" x14ac:dyDescent="0.2">
      <c r="A34" s="5" t="s">
        <v>190</v>
      </c>
      <c r="B34" s="26">
        <v>8000</v>
      </c>
      <c r="C34" s="6" t="s">
        <v>191</v>
      </c>
      <c r="D34" s="6" t="s">
        <v>192</v>
      </c>
    </row>
    <row r="35" spans="1:4" ht="15" customHeight="1" x14ac:dyDescent="0.2">
      <c r="A35" s="5" t="s">
        <v>193</v>
      </c>
      <c r="B35" s="26">
        <v>1000</v>
      </c>
      <c r="C35" s="6" t="s">
        <v>194</v>
      </c>
      <c r="D35" s="6" t="s">
        <v>195</v>
      </c>
    </row>
    <row r="36" spans="1:4" ht="15" customHeight="1" x14ac:dyDescent="0.2">
      <c r="A36" s="5" t="s">
        <v>196</v>
      </c>
      <c r="B36" s="26">
        <v>2000</v>
      </c>
      <c r="C36" s="6" t="s">
        <v>197</v>
      </c>
      <c r="D36" s="6" t="s">
        <v>198</v>
      </c>
    </row>
    <row r="37" spans="1:4" ht="15" customHeight="1" x14ac:dyDescent="0.2">
      <c r="A37" s="13" t="s">
        <v>199</v>
      </c>
      <c r="B37" s="25">
        <f>SUM(B32:B36)</f>
        <v>29000</v>
      </c>
      <c r="C37" s="15"/>
      <c r="D37" s="15" t="s">
        <v>200</v>
      </c>
    </row>
    <row r="39" spans="1:4" ht="15.75" customHeight="1" x14ac:dyDescent="0.2">
      <c r="A39" s="3" t="s">
        <v>201</v>
      </c>
    </row>
    <row r="40" spans="1:4" ht="15" customHeight="1" x14ac:dyDescent="0.2">
      <c r="A40" s="4" t="s">
        <v>51</v>
      </c>
      <c r="B40" s="4" t="s">
        <v>202</v>
      </c>
      <c r="C40" s="4"/>
      <c r="D40" s="4"/>
    </row>
    <row r="41" spans="1:4" ht="15" customHeight="1" x14ac:dyDescent="0.2">
      <c r="A41" s="28" t="s">
        <v>203</v>
      </c>
      <c r="B41" s="33">
        <f>'5-Year P&amp;L'!B20</f>
        <v>57779.1</v>
      </c>
    </row>
    <row r="42" spans="1:4" ht="15" customHeight="1" x14ac:dyDescent="0.2">
      <c r="A42" s="28" t="s">
        <v>204</v>
      </c>
      <c r="B42" s="33">
        <f>'5-Year P&amp;L'!C20</f>
        <v>262641.59999999998</v>
      </c>
    </row>
    <row r="43" spans="1:4" ht="15" customHeight="1" x14ac:dyDescent="0.2">
      <c r="A43" s="28" t="s">
        <v>205</v>
      </c>
      <c r="B43" s="33">
        <f>'5-Year P&amp;L'!F20</f>
        <v>4908780</v>
      </c>
    </row>
    <row r="44" spans="1:4" ht="15" customHeight="1" x14ac:dyDescent="0.2">
      <c r="A44" s="28" t="s">
        <v>206</v>
      </c>
      <c r="B44" s="33">
        <f>'5-Year P&amp;L'!F38</f>
        <v>1860053.6999999993</v>
      </c>
    </row>
    <row r="45" spans="1:4" ht="15" customHeight="1" x14ac:dyDescent="0.2">
      <c r="A45" s="28" t="s">
        <v>207</v>
      </c>
      <c r="B45" s="60">
        <f>'5-Year P&amp;L'!F38/10000</f>
        <v>186.00536999999991</v>
      </c>
    </row>
    <row r="46" spans="1:4" ht="15" customHeight="1" x14ac:dyDescent="0.2">
      <c r="A46" s="28" t="s">
        <v>208</v>
      </c>
      <c r="B46" s="31">
        <f>Assumptions!B63</f>
        <v>33</v>
      </c>
    </row>
    <row r="47" spans="1:4" ht="15" customHeight="1" x14ac:dyDescent="0.2">
      <c r="A47" s="28" t="s">
        <v>106</v>
      </c>
      <c r="B47" s="61" t="s">
        <v>107</v>
      </c>
    </row>
    <row r="50" spans="6:7" ht="15" customHeight="1" x14ac:dyDescent="0.2">
      <c r="F50" s="62" t="s">
        <v>209</v>
      </c>
      <c r="G50" s="52">
        <f>B13</f>
        <v>5500</v>
      </c>
    </row>
    <row r="51" spans="6:7" ht="15" customHeight="1" x14ac:dyDescent="0.2">
      <c r="F51" s="62" t="s">
        <v>210</v>
      </c>
      <c r="G51" s="52">
        <f>B19</f>
        <v>2500</v>
      </c>
    </row>
    <row r="52" spans="6:7" ht="15" customHeight="1" x14ac:dyDescent="0.2">
      <c r="F52" s="62" t="s">
        <v>211</v>
      </c>
      <c r="G52" s="52">
        <f>B24</f>
        <v>2000</v>
      </c>
    </row>
  </sheetData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5-Year P&amp;L</vt:lpstr>
      <vt:lpstr>Investment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Hinojosa</cp:lastModifiedBy>
  <cp:revision>4</cp:revision>
  <dcterms:created xsi:type="dcterms:W3CDTF">2026-03-27T00:34:14Z</dcterms:created>
  <dcterms:modified xsi:type="dcterms:W3CDTF">2026-03-27T03:06:57Z</dcterms:modified>
  <dc:language>en-US</dc:language>
</cp:coreProperties>
</file>